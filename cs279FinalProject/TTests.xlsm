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linathadhani/Desktop/cs279FinalProject/"/>
    </mc:Choice>
  </mc:AlternateContent>
  <xr:revisionPtr revIDLastSave="0" documentId="13_ncr:1_{ED58A5EB-4736-8D43-A759-B196A3609460}" xr6:coauthVersionLast="45" xr6:coauthVersionMax="45" xr10:uidLastSave="{00000000-0000-0000-0000-000000000000}"/>
  <bookViews>
    <workbookView xWindow="320" yWindow="480" windowWidth="28040" windowHeight="16460" xr2:uid="{00000000-000D-0000-FFFF-FFFF00000000}"/>
  </bookViews>
  <sheets>
    <sheet name="allAre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64" i="1" l="1"/>
  <c r="AB63" i="1"/>
  <c r="AA63" i="1"/>
  <c r="AB62" i="1"/>
  <c r="AA62" i="1"/>
  <c r="T5" i="1"/>
  <c r="S8" i="1" s="1"/>
  <c r="S5" i="1"/>
  <c r="R8" i="1" s="1"/>
  <c r="N21" i="1" l="1"/>
  <c r="Q21" i="1"/>
  <c r="Q20" i="1"/>
  <c r="Q19" i="1"/>
  <c r="Q24" i="1" s="1"/>
  <c r="Q18" i="1"/>
  <c r="Q23" i="1" s="1"/>
  <c r="Q17" i="1"/>
  <c r="P21" i="1"/>
  <c r="P20" i="1"/>
  <c r="P25" i="1" s="1"/>
  <c r="P19" i="1"/>
  <c r="P24" i="1" s="1"/>
  <c r="P18" i="1"/>
  <c r="P23" i="1" s="1"/>
  <c r="P17" i="1"/>
  <c r="O21" i="1"/>
  <c r="O20" i="1"/>
  <c r="O25" i="1" s="1"/>
  <c r="O19" i="1"/>
  <c r="O24" i="1" s="1"/>
  <c r="O18" i="1"/>
  <c r="O17" i="1"/>
  <c r="N20" i="1"/>
  <c r="N19" i="1"/>
  <c r="N24" i="1" s="1"/>
  <c r="N18" i="1"/>
  <c r="N23" i="1" s="1"/>
  <c r="N17" i="1"/>
  <c r="M21" i="1"/>
  <c r="M20" i="1"/>
  <c r="M25" i="1" s="1"/>
  <c r="M19" i="1"/>
  <c r="M24" i="1" s="1"/>
  <c r="M18" i="1"/>
  <c r="M17" i="1"/>
  <c r="L21" i="1"/>
  <c r="L20" i="1"/>
  <c r="L25" i="1" s="1"/>
  <c r="L19" i="1"/>
  <c r="L18" i="1"/>
  <c r="L23" i="1" s="1"/>
  <c r="L1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" i="1"/>
  <c r="O5" i="1" s="1"/>
  <c r="N9" i="1"/>
  <c r="N8" i="1"/>
  <c r="M9" i="1"/>
  <c r="M8" i="1"/>
  <c r="L8" i="1"/>
  <c r="L9" i="1"/>
  <c r="N7" i="1"/>
  <c r="N6" i="1"/>
  <c r="M7" i="1"/>
  <c r="M6" i="1"/>
  <c r="L7" i="1"/>
  <c r="L6" i="1"/>
  <c r="M5" i="1"/>
  <c r="L5" i="1"/>
  <c r="N5" i="1"/>
  <c r="L24" i="1" l="1"/>
  <c r="M23" i="1"/>
  <c r="O26" i="1"/>
  <c r="O23" i="1"/>
  <c r="P26" i="1"/>
  <c r="Q25" i="1"/>
  <c r="O6" i="1"/>
  <c r="L26" i="1"/>
  <c r="Q26" i="1"/>
  <c r="O9" i="1"/>
  <c r="M26" i="1"/>
  <c r="N25" i="1"/>
  <c r="O7" i="1"/>
  <c r="O8" i="1"/>
  <c r="N26" i="1"/>
</calcChain>
</file>

<file path=xl/sharedStrings.xml><?xml version="1.0" encoding="utf-8"?>
<sst xmlns="http://schemas.openxmlformats.org/spreadsheetml/2006/main" count="41" uniqueCount="35">
  <si>
    <t>HemArea</t>
  </si>
  <si>
    <t>allArea</t>
  </si>
  <si>
    <t xml:space="preserve">Area </t>
  </si>
  <si>
    <t>AllCurv</t>
  </si>
  <si>
    <t xml:space="preserve">hemCurv </t>
  </si>
  <si>
    <t>all Path Length</t>
  </si>
  <si>
    <t>hem Path Length</t>
  </si>
  <si>
    <t>Curv</t>
  </si>
  <si>
    <t>PathLength</t>
  </si>
  <si>
    <t>Ttest</t>
  </si>
  <si>
    <t>AIIAverage</t>
  </si>
  <si>
    <t>HemAverage</t>
  </si>
  <si>
    <t>AllSTD</t>
  </si>
  <si>
    <t>HemSTD</t>
  </si>
  <si>
    <t xml:space="preserve">Area Box Plot </t>
  </si>
  <si>
    <t>All</t>
  </si>
  <si>
    <t xml:space="preserve">Hem </t>
  </si>
  <si>
    <t xml:space="preserve">Curv Box Plot </t>
  </si>
  <si>
    <t>allCircularity</t>
  </si>
  <si>
    <t xml:space="preserve">hemCircularity </t>
  </si>
  <si>
    <t xml:space="preserve">Circulairty </t>
  </si>
  <si>
    <t>min</t>
  </si>
  <si>
    <t>firstquart</t>
  </si>
  <si>
    <t>medianval</t>
  </si>
  <si>
    <t>thirdquart</t>
  </si>
  <si>
    <t>max</t>
  </si>
  <si>
    <t>firstquart-min</t>
  </si>
  <si>
    <t>med-firstquart</t>
  </si>
  <si>
    <t>thirdquart-med</t>
  </si>
  <si>
    <t>max-thirdquart</t>
  </si>
  <si>
    <t>Hem</t>
  </si>
  <si>
    <t>kmeans</t>
  </si>
  <si>
    <t xml:space="preserve">random </t>
  </si>
  <si>
    <t>Average</t>
  </si>
  <si>
    <t xml:space="preserve">STD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</si>
</sst>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Area</a:t>
            </a:r>
            <a:r>
              <a:rPr 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allArea!$L$16:$M$16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allArea!$L$23:$M$23</c:f>
              <c:numCache>
                <c:formatCode>General</c:formatCode>
                <c:ptCount val="2"/>
                <c:pt idx="0">
                  <c:v>27679.187000000002</c:v>
                </c:pt>
                <c:pt idx="1">
                  <c:v>18612.264999999999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9-214D-94DA-9660961CBE32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allArea!$L$16:$M$16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allArea!$L$24:$M$24</c:f>
              <c:numCache>
                <c:formatCode>General</c:formatCode>
                <c:ptCount val="2"/>
                <c:pt idx="0">
                  <c:v>5252.0749999999971</c:v>
                </c:pt>
                <c:pt idx="1">
                  <c:v>3579.2999999999993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9-214D-94DA-9660961CBE32}"/>
            </c:ext>
          </c:extLst>
        </c:ser>
        <c:ser>
          <c:idx val="2"/>
          <c:order val="2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errBars>
            <c:errBarType val="pl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allArea!$L$16:$M$16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allArea!$L$25:$M$25</c:f>
              <c:numCache>
                <c:formatCode>General</c:formatCode>
                <c:ptCount val="2"/>
                <c:pt idx="0">
                  <c:v>5304.9500000000044</c:v>
                </c:pt>
                <c:pt idx="1">
                  <c:v>4765.5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9-214D-94DA-9660961CB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2011808"/>
        <c:axId val="1962353216"/>
      </c:barChart>
      <c:catAx>
        <c:axId val="196201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53216"/>
        <c:crosses val="autoZero"/>
        <c:auto val="1"/>
        <c:lblAlgn val="ctr"/>
        <c:lblOffset val="100"/>
        <c:noMultiLvlLbl val="0"/>
      </c:catAx>
      <c:valAx>
        <c:axId val="1962353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011808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Curvature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5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allArea!$N$16:$O$16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allArea!$N$23:$O$23</c:f>
              <c:numCache>
                <c:formatCode>General</c:formatCode>
                <c:ptCount val="2"/>
                <c:pt idx="0">
                  <c:v>21.223734999999998</c:v>
                </c:pt>
                <c:pt idx="1">
                  <c:v>9.8776999999999973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5-8E48-86FF-89D395425297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allArea!$N$16:$O$16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allArea!$N$24:$O$24</c:f>
              <c:numCache>
                <c:formatCode>General</c:formatCode>
                <c:ptCount val="2"/>
                <c:pt idx="0">
                  <c:v>5.9690750000000037</c:v>
                </c:pt>
                <c:pt idx="1">
                  <c:v>3.4085999999999999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C5-8E48-86FF-89D395425297}"/>
            </c:ext>
          </c:extLst>
        </c:ser>
        <c:ser>
          <c:idx val="2"/>
          <c:order val="2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errBars>
            <c:errBarType val="pl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allArea!$N$16:$O$16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allArea!$N$25:$O$25</c:f>
              <c:numCache>
                <c:formatCode>General</c:formatCode>
                <c:ptCount val="2"/>
                <c:pt idx="0">
                  <c:v>15.12265</c:v>
                </c:pt>
                <c:pt idx="1">
                  <c:v>6.4413000000000018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C5-8E48-86FF-89D395425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3245504"/>
        <c:axId val="1957617408"/>
      </c:barChart>
      <c:catAx>
        <c:axId val="190324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617408"/>
        <c:crosses val="autoZero"/>
        <c:auto val="1"/>
        <c:lblAlgn val="ctr"/>
        <c:lblOffset val="100"/>
        <c:noMultiLvlLbl val="0"/>
      </c:catAx>
      <c:valAx>
        <c:axId val="1957617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24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errBars>
            <c:errBarType val="both"/>
            <c:errValType val="percentage"/>
            <c:noEndCap val="1"/>
            <c:val val="5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allArea!$P$16:$Q$16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allArea!$P$23:$Q$23</c:f>
              <c:numCache>
                <c:formatCode>General</c:formatCode>
                <c:ptCount val="2"/>
                <c:pt idx="0">
                  <c:v>596.31795</c:v>
                </c:pt>
                <c:pt idx="1">
                  <c:v>413.24400000000003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77-BE42-B5B7-BE3BE3B6ADB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allArea!$P$16:$Q$16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allArea!$P$24:$Q$24</c:f>
              <c:numCache>
                <c:formatCode>General</c:formatCode>
                <c:ptCount val="2"/>
                <c:pt idx="0">
                  <c:v>59.271749999999997</c:v>
                </c:pt>
                <c:pt idx="1">
                  <c:v>47.373000000000047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77-BE42-B5B7-BE3BE3B6ADB0}"/>
            </c:ext>
          </c:extLst>
        </c:ser>
        <c:ser>
          <c:idx val="2"/>
          <c:order val="2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errBars>
            <c:errBarType val="pl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allArea!$P$16:$Q$16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allArea!$P$25:$Q$25</c:f>
              <c:numCache>
                <c:formatCode>General</c:formatCode>
                <c:ptCount val="2"/>
                <c:pt idx="0">
                  <c:v>89.912250000000085</c:v>
                </c:pt>
                <c:pt idx="1">
                  <c:v>83.41599999999994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77-BE42-B5B7-BE3BE3B6ADB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cat>
            <c:strRef>
              <c:f>allArea!$P$16:$Q$16</c:f>
              <c:strCache>
                <c:ptCount val="2"/>
                <c:pt idx="0">
                  <c:v>All</c:v>
                </c:pt>
                <c:pt idx="1">
                  <c:v>Hem </c:v>
                </c:pt>
              </c:strCache>
            </c:strRef>
          </c:cat>
          <c:val>
            <c:numRef>
              <c:f>allArea!$P$26:$Q$26</c:f>
              <c:numCache>
                <c:formatCode>General</c:formatCode>
                <c:ptCount val="2"/>
                <c:pt idx="0">
                  <c:v>1158.7012499999998</c:v>
                </c:pt>
                <c:pt idx="1">
                  <c:v>1318.9189999999999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77-BE42-B5B7-BE3BE3B6A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1260288"/>
        <c:axId val="2022153952"/>
      </c:barChart>
      <c:catAx>
        <c:axId val="200126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153952"/>
        <c:crosses val="autoZero"/>
        <c:auto val="1"/>
        <c:lblAlgn val="ctr"/>
        <c:lblOffset val="100"/>
        <c:noMultiLvlLbl val="0"/>
      </c:catAx>
      <c:valAx>
        <c:axId val="2022153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26028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allArea!$AA$63:$AB$63</c:f>
                <c:numCache>
                  <c:formatCode>General</c:formatCode>
                  <c:ptCount val="2"/>
                  <c:pt idx="0">
                    <c:v>1.326010593308834E-2</c:v>
                  </c:pt>
                  <c:pt idx="1">
                    <c:v>1.0439746361553398E-2</c:v>
                  </c:pt>
                </c:numCache>
              </c:numRef>
            </c:plus>
            <c:minus>
              <c:numRef>
                <c:f>allArea!$AA$63:$AB$63</c:f>
                <c:numCache>
                  <c:formatCode>General</c:formatCode>
                  <c:ptCount val="2"/>
                  <c:pt idx="0">
                    <c:v>1.326010593308834E-2</c:v>
                  </c:pt>
                  <c:pt idx="1">
                    <c:v>1.0439746361553398E-2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allArea!$AA$41:$AB$41</c:f>
              <c:strCache>
                <c:ptCount val="2"/>
                <c:pt idx="0">
                  <c:v>kmeans</c:v>
                </c:pt>
                <c:pt idx="1">
                  <c:v>random </c:v>
                </c:pt>
              </c:strCache>
            </c:strRef>
          </c:cat>
          <c:val>
            <c:numRef>
              <c:f>allArea!$AA$62:$AB$62</c:f>
              <c:numCache>
                <c:formatCode>General</c:formatCode>
                <c:ptCount val="2"/>
                <c:pt idx="0">
                  <c:v>0.67894736842105252</c:v>
                </c:pt>
                <c:pt idx="1">
                  <c:v>0.50289473684210539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5-7E4B-8587-5C30820FE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2464991"/>
        <c:axId val="2028318703"/>
      </c:barChart>
      <c:catAx>
        <c:axId val="202246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318703"/>
        <c:crosses val="autoZero"/>
        <c:auto val="1"/>
        <c:lblAlgn val="ctr"/>
        <c:lblOffset val="100"/>
        <c:noMultiLvlLbl val="0"/>
      </c:catAx>
      <c:valAx>
        <c:axId val="20283187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Percent</a:t>
                </a:r>
                <a:r>
                  <a:rPr lang="en-US" sz="1600" baseline="0"/>
                  <a:t> Accuracy 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46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589634</xdr:colOff>
      <xdr:row>33</xdr:row>
      <xdr:rowOff>90160</xdr:rowOff>
    </xdr:from>
    <xdr:to>
      <xdr:col>12</xdr:col>
      <xdr:colOff>537747</xdr:colOff>
      <xdr:row>46</xdr:row>
      <xdr:rowOff>194505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CA7449-FDBC-A447-A723-69A5A6A29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680801</xdr:colOff>
      <xdr:row>62</xdr:row>
      <xdr:rowOff>69351</xdr:rowOff>
    </xdr:from>
    <xdr:to>
      <xdr:col>12</xdr:col>
      <xdr:colOff>501729</xdr:colOff>
      <xdr:row>75</xdr:row>
      <xdr:rowOff>188148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E1EDF0-C851-FE45-8DBB-B9A4FF1DB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603297</xdr:colOff>
      <xdr:row>46</xdr:row>
      <xdr:rowOff>186065</xdr:rowOff>
    </xdr:from>
    <xdr:to>
      <xdr:col>12</xdr:col>
      <xdr:colOff>533086</xdr:colOff>
      <xdr:row>61</xdr:row>
      <xdr:rowOff>186063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AF780-3652-2B4F-98DD-DA8B45654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31358</xdr:colOff>
      <xdr:row>35</xdr:row>
      <xdr:rowOff>141111</xdr:rowOff>
    </xdr:from>
    <xdr:to>
      <xdr:col>11</xdr:col>
      <xdr:colOff>815309</xdr:colOff>
      <xdr:row>36</xdr:row>
      <xdr:rowOff>172469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EF856A-1116-3840-8483-5FCC6BD8C03F}"/>
            </a:ext>
          </a:extLst>
        </xdr:cNvPr>
        <xdr:cNvSpPr txBox="1"/>
      </xdr:nvSpPr>
      <xdr:spPr>
        <a:xfrm>
          <a:off x="10160000" y="7275062"/>
          <a:ext cx="783951" cy="2351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 &lt; 0.005</a:t>
          </a:r>
        </a:p>
      </xdr:txBody>
    </xdr:sp>
    <xdr:clientData/>
  </xdr:twoCellAnchor>
  <xdr:twoCellAnchor>
    <xdr:from>
      <xdr:col>17</xdr:col>
      <xdr:colOff>332395</xdr:colOff>
      <xdr:row>46</xdr:row>
      <xdr:rowOff>172782</xdr:rowOff>
    </xdr:from>
    <xdr:to>
      <xdr:col>23</xdr:col>
      <xdr:colOff>360617</xdr:colOff>
      <xdr:row>66</xdr:row>
      <xdr:rowOff>-1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436B5F0-FB96-3145-9D2B-F4BFBD50E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0.61327</cdr:x>
      <cdr:y>0.18072</cdr:y>
    </cdr:from>
    <cdr:to>
      <cdr:x>0.84001</cdr:x>
      <cdr:y>0.25764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5EEF856A-1116-3840-8483-5FCC6BD8C03F}"/>
            </a:ext>
          </a:extLst>
        </cdr:cNvPr>
        <cdr:cNvSpPr txBox="1"/>
      </cdr:nvSpPr>
      <cdr:spPr>
        <a:xfrm xmlns:a="http://schemas.openxmlformats.org/drawingml/2006/main">
          <a:off x="2120429" y="552528"/>
          <a:ext cx="783951" cy="23518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 &lt; 0.005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0.61538</cdr:x>
      <cdr:y>0.09631</cdr:y>
    </cdr:from>
    <cdr:to>
      <cdr:x>0.85929</cdr:x>
      <cdr:y>0.20476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66CEEE8-EA56-F74B-94FC-D717ADF6AB0C}"/>
            </a:ext>
          </a:extLst>
        </cdr:cNvPr>
        <cdr:cNvSpPr txBox="1"/>
      </cdr:nvSpPr>
      <cdr:spPr>
        <a:xfrm xmlns:a="http://schemas.openxmlformats.org/drawingml/2006/main">
          <a:off x="3085630" y="375984"/>
          <a:ext cx="1222963" cy="423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p &lt; 0.001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2387"/>
  <sheetViews>
    <sheetView tabSelected="1" topLeftCell="K35" zoomScale="81" zoomScaleNormal="263" workbookViewId="0">
      <selection activeCell="Y69" sqref="Y69"/>
    </sheetView>
  </sheetViews>
  <sheetFormatPr baseColWidth="10" defaultRowHeight="16" x14ac:dyDescent="0.2"/>
  <cols>
    <col min="8" max="8" width="21.1640625" customWidth="1"/>
    <col min="9" max="10" width="12.1640625" bestFit="1" customWidth="1"/>
    <col min="11" max="11" width="11.1640625" bestFit="1" customWidth="1"/>
    <col min="15" max="15" width="12.1640625" bestFit="1" customWidth="1"/>
    <col min="26" max="26" width="12.6640625" bestFit="1" customWidth="1"/>
  </cols>
  <sheetData>
    <row r="1" spans="1:20" x14ac:dyDescent="0.2">
      <c r="A1" t="s">
        <v>1</v>
      </c>
      <c r="B1" t="s">
        <v>0</v>
      </c>
      <c r="C1" t="s">
        <v>3</v>
      </c>
      <c r="D1" t="s">
        <v>4</v>
      </c>
      <c r="E1" t="s">
        <v>5</v>
      </c>
      <c r="F1" t="s">
        <v>6</v>
      </c>
      <c r="G1" t="s">
        <v>18</v>
      </c>
      <c r="H1" t="s">
        <v>19</v>
      </c>
    </row>
    <row r="2" spans="1:20" x14ac:dyDescent="0.2">
      <c r="A2">
        <v>38488.800000000003</v>
      </c>
      <c r="B2">
        <v>27985.1</v>
      </c>
      <c r="C2">
        <v>52.944200000000002</v>
      </c>
      <c r="D2">
        <v>46.701999999999998</v>
      </c>
      <c r="E2">
        <v>751.88099999999997</v>
      </c>
      <c r="F2">
        <v>627.40899999999999</v>
      </c>
      <c r="G2">
        <f xml:space="preserve"> 3.14159*4*A2/(E2*E2)</f>
        <v>0.85555049594363863</v>
      </c>
      <c r="H2">
        <f xml:space="preserve"> 3*3.14159*B2/(F2*F2)</f>
        <v>0.67003291119081909</v>
      </c>
    </row>
    <row r="3" spans="1:20" x14ac:dyDescent="0.2">
      <c r="A3">
        <v>36408.400000000001</v>
      </c>
      <c r="B3">
        <v>22508.6</v>
      </c>
      <c r="C3">
        <v>47.725900000000003</v>
      </c>
      <c r="D3">
        <v>25.432300000000001</v>
      </c>
      <c r="E3">
        <v>766.71900000000005</v>
      </c>
      <c r="F3">
        <v>540.24</v>
      </c>
      <c r="G3">
        <f t="shared" ref="G3:G66" si="0" xml:space="preserve"> 3.14159*4*A3/(E3*E3)</f>
        <v>0.77828496337079534</v>
      </c>
      <c r="H3">
        <f t="shared" ref="H3:H66" si="1" xml:space="preserve"> 3*3.14159*B3/(F3*F3)</f>
        <v>0.72685163310029588</v>
      </c>
    </row>
    <row r="4" spans="1:20" x14ac:dyDescent="0.2">
      <c r="A4">
        <v>34142</v>
      </c>
      <c r="B4">
        <v>28077.200000000001</v>
      </c>
      <c r="C4">
        <v>32.8093</v>
      </c>
      <c r="D4">
        <v>27.693100000000001</v>
      </c>
      <c r="E4">
        <v>682.48599999999999</v>
      </c>
      <c r="F4">
        <v>599.33000000000004</v>
      </c>
      <c r="G4">
        <f t="shared" si="0"/>
        <v>0.92110886303014428</v>
      </c>
      <c r="H4">
        <f t="shared" si="1"/>
        <v>0.73670314128765302</v>
      </c>
      <c r="L4" t="s">
        <v>2</v>
      </c>
      <c r="M4" t="s">
        <v>7</v>
      </c>
      <c r="N4" t="s">
        <v>8</v>
      </c>
      <c r="O4" t="s">
        <v>20</v>
      </c>
      <c r="S4" t="s">
        <v>15</v>
      </c>
      <c r="T4" t="s">
        <v>30</v>
      </c>
    </row>
    <row r="5" spans="1:20" x14ac:dyDescent="0.2">
      <c r="A5">
        <v>29565.7</v>
      </c>
      <c r="B5">
        <v>17380</v>
      </c>
      <c r="C5">
        <v>22.630700000000001</v>
      </c>
      <c r="D5">
        <v>28.122800000000002</v>
      </c>
      <c r="E5">
        <v>618.57600000000002</v>
      </c>
      <c r="F5">
        <v>474.49299999999999</v>
      </c>
      <c r="G5">
        <f t="shared" si="0"/>
        <v>0.97098278741705724</v>
      </c>
      <c r="H5">
        <f t="shared" si="1"/>
        <v>0.72754676336135182</v>
      </c>
      <c r="K5" t="s">
        <v>9</v>
      </c>
      <c r="L5">
        <f xml:space="preserve"> TTEST(A2:A2387,B2:B1126,2,2)</f>
        <v>6.5673831549365461E-117</v>
      </c>
      <c r="M5">
        <f>TTEST(C:C,D:D,2,2)</f>
        <v>1.3990924672117274E-10</v>
      </c>
      <c r="N5">
        <f>TTEST(E:E,F:F,2,2)</f>
        <v>8.9129035616246094E-63</v>
      </c>
      <c r="O5">
        <f>TTEST(G:G,H:H,2,2)</f>
        <v>5.1622382485784576E-69</v>
      </c>
      <c r="S5">
        <f xml:space="preserve"> COUNT(A:A)</f>
        <v>2386</v>
      </c>
      <c r="T5">
        <f xml:space="preserve"> COUNT(B:B)</f>
        <v>1125</v>
      </c>
    </row>
    <row r="6" spans="1:20" x14ac:dyDescent="0.2">
      <c r="A6">
        <v>26723.7</v>
      </c>
      <c r="B6">
        <v>23044.400000000001</v>
      </c>
      <c r="C6">
        <v>24.883299999999998</v>
      </c>
      <c r="D6">
        <v>32.933399999999999</v>
      </c>
      <c r="E6">
        <v>587.43200000000002</v>
      </c>
      <c r="F6">
        <v>593.25199999999995</v>
      </c>
      <c r="G6">
        <f t="shared" si="0"/>
        <v>0.97317486472787662</v>
      </c>
      <c r="H6">
        <f t="shared" si="1"/>
        <v>0.61710312201996598</v>
      </c>
      <c r="K6" t="s">
        <v>10</v>
      </c>
      <c r="L6">
        <f xml:space="preserve"> AVERAGE(A:A)</f>
        <v>31881.848466051932</v>
      </c>
      <c r="M6">
        <f>AVERAGE(C:C)</f>
        <v>55.305678545683229</v>
      </c>
      <c r="N6">
        <f>AVERAGE(E:E)</f>
        <v>757.0096036881813</v>
      </c>
      <c r="O6">
        <f>AVERAGE(G:G)</f>
        <v>0.7912485539038675</v>
      </c>
      <c r="S6">
        <v>2450</v>
      </c>
      <c r="T6">
        <v>1094</v>
      </c>
    </row>
    <row r="7" spans="1:20" x14ac:dyDescent="0.2">
      <c r="A7">
        <v>38292.199999999997</v>
      </c>
      <c r="B7">
        <v>32711</v>
      </c>
      <c r="C7">
        <v>47.552100000000003</v>
      </c>
      <c r="D7">
        <v>46.511499999999998</v>
      </c>
      <c r="E7">
        <v>738.95399999999995</v>
      </c>
      <c r="F7">
        <v>663.19200000000001</v>
      </c>
      <c r="G7">
        <f t="shared" si="0"/>
        <v>0.8812213428965312</v>
      </c>
      <c r="H7">
        <f t="shared" si="1"/>
        <v>0.70094836029223195</v>
      </c>
      <c r="K7" t="s">
        <v>11</v>
      </c>
      <c r="L7">
        <f>AVERAGE(B:B)</f>
        <v>23586.670503999983</v>
      </c>
      <c r="M7">
        <f>AVERAGE(D:D)</f>
        <v>42.053997511111071</v>
      </c>
      <c r="N7">
        <f>AVERAGE(F:F)</f>
        <v>632.0577928888888</v>
      </c>
      <c r="O7">
        <f>AVERAGE(H:H)</f>
        <v>0.63087338827503303</v>
      </c>
    </row>
    <row r="8" spans="1:20" x14ac:dyDescent="0.2">
      <c r="A8">
        <v>24078.7</v>
      </c>
      <c r="B8">
        <v>34589</v>
      </c>
      <c r="C8">
        <v>234</v>
      </c>
      <c r="D8">
        <v>31.7956</v>
      </c>
      <c r="E8">
        <v>1949.33</v>
      </c>
      <c r="F8">
        <v>685.89</v>
      </c>
      <c r="G8">
        <f t="shared" si="0"/>
        <v>7.9629098651222432E-2</v>
      </c>
      <c r="H8">
        <f t="shared" si="1"/>
        <v>0.69294669028177536</v>
      </c>
      <c r="K8" t="s">
        <v>12</v>
      </c>
      <c r="L8">
        <f>STDEV(A:A)</f>
        <v>10086.983079663429</v>
      </c>
      <c r="M8">
        <f>STDEV(C:C)</f>
        <v>63.357174535030786</v>
      </c>
      <c r="N8">
        <f>STDEV(E:E)</f>
        <v>207.52066023957622</v>
      </c>
      <c r="O8">
        <f>STDEV(G:G)</f>
        <v>0.26775579224995022</v>
      </c>
      <c r="R8">
        <f xml:space="preserve"> SUM(S5:S6)</f>
        <v>4836</v>
      </c>
      <c r="S8">
        <f xml:space="preserve"> SUM(T5:T6)</f>
        <v>2219</v>
      </c>
    </row>
    <row r="9" spans="1:20" x14ac:dyDescent="0.2">
      <c r="A9">
        <v>37502.800000000003</v>
      </c>
      <c r="B9">
        <v>4618.47</v>
      </c>
      <c r="C9">
        <v>27.655100000000001</v>
      </c>
      <c r="D9">
        <v>58.945599999999999</v>
      </c>
      <c r="E9">
        <v>693.721</v>
      </c>
      <c r="F9">
        <v>983.93899999999996</v>
      </c>
      <c r="G9">
        <f t="shared" si="0"/>
        <v>0.97927238572360553</v>
      </c>
      <c r="H9">
        <f t="shared" si="1"/>
        <v>4.4960645500954841E-2</v>
      </c>
      <c r="K9" t="s">
        <v>13</v>
      </c>
      <c r="L9">
        <f>STDEV(B:B)</f>
        <v>8491.6002684772848</v>
      </c>
      <c r="M9">
        <f>STDEV(D:D)</f>
        <v>40.039878445885854</v>
      </c>
      <c r="N9">
        <f>STDEV(F:F)</f>
        <v>191.34499099373136</v>
      </c>
      <c r="O9">
        <f>STDEV(H:H)</f>
        <v>0.19584534417282157</v>
      </c>
    </row>
    <row r="10" spans="1:20" x14ac:dyDescent="0.2">
      <c r="A10">
        <v>47561.3</v>
      </c>
      <c r="B10">
        <v>32536.2</v>
      </c>
      <c r="C10">
        <v>33.314799999999998</v>
      </c>
      <c r="D10">
        <v>27.993200000000002</v>
      </c>
      <c r="E10">
        <v>803.36599999999999</v>
      </c>
      <c r="F10">
        <v>659.84</v>
      </c>
      <c r="G10">
        <f t="shared" si="0"/>
        <v>0.92605401440125601</v>
      </c>
      <c r="H10">
        <f t="shared" si="1"/>
        <v>0.70430425321875767</v>
      </c>
    </row>
    <row r="11" spans="1:20" x14ac:dyDescent="0.2">
      <c r="A11">
        <v>34321.5</v>
      </c>
      <c r="B11">
        <v>25718.7</v>
      </c>
      <c r="C11">
        <v>29.465599999999998</v>
      </c>
      <c r="D11">
        <v>27.319500000000001</v>
      </c>
      <c r="E11">
        <v>668.63099999999997</v>
      </c>
      <c r="F11">
        <v>583.41</v>
      </c>
      <c r="G11">
        <f t="shared" si="0"/>
        <v>0.96472324101143192</v>
      </c>
      <c r="H11">
        <f t="shared" si="1"/>
        <v>0.71215091285987409</v>
      </c>
    </row>
    <row r="12" spans="1:20" x14ac:dyDescent="0.2">
      <c r="A12">
        <v>37939.699999999997</v>
      </c>
      <c r="B12">
        <v>20725.7</v>
      </c>
      <c r="C12">
        <v>27.586600000000001</v>
      </c>
      <c r="D12">
        <v>26.939499999999999</v>
      </c>
      <c r="E12">
        <v>714.92600000000004</v>
      </c>
      <c r="F12">
        <v>526.76599999999996</v>
      </c>
      <c r="G12">
        <f t="shared" si="0"/>
        <v>0.93278425470958315</v>
      </c>
      <c r="H12">
        <f t="shared" si="1"/>
        <v>0.70395434948534485</v>
      </c>
    </row>
    <row r="13" spans="1:20" x14ac:dyDescent="0.2">
      <c r="A13">
        <v>38827.4</v>
      </c>
      <c r="B13">
        <v>32102.400000000001</v>
      </c>
      <c r="C13">
        <v>56.506999999999998</v>
      </c>
      <c r="D13">
        <v>24.919899999999998</v>
      </c>
      <c r="E13">
        <v>750.40800000000002</v>
      </c>
      <c r="F13">
        <v>651.83399999999995</v>
      </c>
      <c r="G13">
        <f t="shared" si="0"/>
        <v>0.86646873451133799</v>
      </c>
      <c r="H13">
        <f t="shared" si="1"/>
        <v>0.71208894399217459</v>
      </c>
    </row>
    <row r="14" spans="1:20" x14ac:dyDescent="0.2">
      <c r="A14">
        <v>41421.5</v>
      </c>
      <c r="B14">
        <v>19200.7</v>
      </c>
      <c r="C14">
        <v>31.572600000000001</v>
      </c>
      <c r="D14">
        <v>31.414300000000001</v>
      </c>
      <c r="E14">
        <v>746.38400000000001</v>
      </c>
      <c r="F14">
        <v>497.57900000000001</v>
      </c>
      <c r="G14">
        <f t="shared" si="0"/>
        <v>0.93435233910113069</v>
      </c>
      <c r="H14">
        <f t="shared" si="1"/>
        <v>0.73090971892199308</v>
      </c>
    </row>
    <row r="15" spans="1:20" x14ac:dyDescent="0.2">
      <c r="A15">
        <v>40643.4</v>
      </c>
      <c r="B15">
        <v>27070.400000000001</v>
      </c>
      <c r="C15">
        <v>40.132100000000001</v>
      </c>
      <c r="D15">
        <v>36.534700000000001</v>
      </c>
      <c r="E15">
        <v>736.43899999999996</v>
      </c>
      <c r="F15">
        <v>610.28499999999997</v>
      </c>
      <c r="G15">
        <f t="shared" si="0"/>
        <v>0.94172905409020846</v>
      </c>
      <c r="H15">
        <f t="shared" si="1"/>
        <v>0.68501493811792002</v>
      </c>
      <c r="K15" t="s">
        <v>14</v>
      </c>
      <c r="N15" t="s">
        <v>17</v>
      </c>
      <c r="P15" t="s">
        <v>8</v>
      </c>
    </row>
    <row r="16" spans="1:20" x14ac:dyDescent="0.2">
      <c r="A16">
        <v>35010.199999999997</v>
      </c>
      <c r="B16">
        <v>25823.8</v>
      </c>
      <c r="C16">
        <v>29.357299999999999</v>
      </c>
      <c r="D16">
        <v>35.179900000000004</v>
      </c>
      <c r="E16">
        <v>678.577</v>
      </c>
      <c r="F16">
        <v>593.84199999999998</v>
      </c>
      <c r="G16">
        <f t="shared" si="0"/>
        <v>0.95544527746479624</v>
      </c>
      <c r="H16">
        <f t="shared" si="1"/>
        <v>0.69015889501667504</v>
      </c>
      <c r="L16" t="s">
        <v>15</v>
      </c>
      <c r="M16" t="s">
        <v>16</v>
      </c>
      <c r="N16" t="s">
        <v>15</v>
      </c>
      <c r="O16" t="s">
        <v>16</v>
      </c>
      <c r="P16" t="s">
        <v>15</v>
      </c>
      <c r="Q16" t="s">
        <v>16</v>
      </c>
    </row>
    <row r="17" spans="1:17" x14ac:dyDescent="0.2">
      <c r="A17">
        <v>39270.699999999997</v>
      </c>
      <c r="B17">
        <v>23210.2</v>
      </c>
      <c r="C17">
        <v>38.0259</v>
      </c>
      <c r="D17">
        <v>44.444400000000002</v>
      </c>
      <c r="E17">
        <v>729.24599999999998</v>
      </c>
      <c r="F17">
        <v>647.04200000000003</v>
      </c>
      <c r="G17">
        <f t="shared" si="0"/>
        <v>0.92796165020447652</v>
      </c>
      <c r="H17">
        <f t="shared" si="1"/>
        <v>0.52249808056355895</v>
      </c>
      <c r="J17" t="s">
        <v>21</v>
      </c>
      <c r="L17">
        <f t="shared" ref="L17:Q17" si="2">MIN(A:A)</f>
        <v>157.93799999999999</v>
      </c>
      <c r="M17">
        <f t="shared" si="2"/>
        <v>736.53499999999997</v>
      </c>
      <c r="N17">
        <f t="shared" si="2"/>
        <v>7.9668900000000002</v>
      </c>
      <c r="O17">
        <f t="shared" si="2"/>
        <v>17.032900000000001</v>
      </c>
      <c r="P17">
        <f t="shared" si="2"/>
        <v>45.126800000000003</v>
      </c>
      <c r="Q17">
        <f t="shared" si="2"/>
        <v>108.078</v>
      </c>
    </row>
    <row r="18" spans="1:17" x14ac:dyDescent="0.2">
      <c r="A18">
        <v>36090.9</v>
      </c>
      <c r="B18">
        <v>35955.699999999997</v>
      </c>
      <c r="C18">
        <v>30.961099999999998</v>
      </c>
      <c r="D18">
        <v>38.564399999999999</v>
      </c>
      <c r="E18">
        <v>686.03200000000004</v>
      </c>
      <c r="F18">
        <v>688.33900000000006</v>
      </c>
      <c r="G18">
        <f t="shared" si="0"/>
        <v>0.96364808271171221</v>
      </c>
      <c r="H18">
        <f t="shared" si="1"/>
        <v>0.71521029239303135</v>
      </c>
      <c r="J18" t="s">
        <v>22</v>
      </c>
      <c r="L18">
        <f t="shared" ref="L18:Q18" si="3">_xlfn.QUARTILE.INC(A:A,1)</f>
        <v>27837.125</v>
      </c>
      <c r="M18">
        <f t="shared" si="3"/>
        <v>19348.8</v>
      </c>
      <c r="N18">
        <f t="shared" si="3"/>
        <v>29.190624999999997</v>
      </c>
      <c r="O18">
        <f t="shared" si="3"/>
        <v>26.910599999999999</v>
      </c>
      <c r="P18">
        <f t="shared" si="3"/>
        <v>641.44475</v>
      </c>
      <c r="Q18">
        <f t="shared" si="3"/>
        <v>521.322</v>
      </c>
    </row>
    <row r="19" spans="1:17" x14ac:dyDescent="0.2">
      <c r="A19">
        <v>27536.1</v>
      </c>
      <c r="B19">
        <v>21310.6</v>
      </c>
      <c r="C19">
        <v>21.208200000000001</v>
      </c>
      <c r="D19">
        <v>29.1129</v>
      </c>
      <c r="E19">
        <v>593.26800000000003</v>
      </c>
      <c r="F19">
        <v>535.30799999999999</v>
      </c>
      <c r="G19">
        <f t="shared" si="0"/>
        <v>0.98312803308058172</v>
      </c>
      <c r="H19">
        <f t="shared" si="1"/>
        <v>0.70090469707191816</v>
      </c>
      <c r="J19" t="s">
        <v>23</v>
      </c>
      <c r="L19">
        <f t="shared" ref="L19:Q19" si="4">MEDIAN(A:A)</f>
        <v>33089.199999999997</v>
      </c>
      <c r="M19">
        <f t="shared" si="4"/>
        <v>22928.1</v>
      </c>
      <c r="N19">
        <f t="shared" si="4"/>
        <v>35.159700000000001</v>
      </c>
      <c r="O19">
        <f t="shared" si="4"/>
        <v>30.319199999999999</v>
      </c>
      <c r="P19">
        <f t="shared" si="4"/>
        <v>700.7165</v>
      </c>
      <c r="Q19">
        <f t="shared" si="4"/>
        <v>568.69500000000005</v>
      </c>
    </row>
    <row r="20" spans="1:17" x14ac:dyDescent="0.2">
      <c r="A20">
        <v>7208.34</v>
      </c>
      <c r="B20">
        <v>28322.400000000001</v>
      </c>
      <c r="C20">
        <v>253.06700000000001</v>
      </c>
      <c r="D20">
        <v>45.165500000000002</v>
      </c>
      <c r="E20">
        <v>1414</v>
      </c>
      <c r="F20">
        <v>648.46299999999997</v>
      </c>
      <c r="G20">
        <f t="shared" si="0"/>
        <v>4.5304979825107179E-2</v>
      </c>
      <c r="H20">
        <f t="shared" si="1"/>
        <v>0.63479048783995995</v>
      </c>
      <c r="J20" t="s">
        <v>24</v>
      </c>
      <c r="L20">
        <f t="shared" ref="L20:Q20" si="5">_xlfn.QUARTILE.INC(A:A,3)</f>
        <v>38394.15</v>
      </c>
      <c r="M20">
        <f t="shared" si="5"/>
        <v>27693.599999999999</v>
      </c>
      <c r="N20">
        <f t="shared" si="5"/>
        <v>50.282350000000001</v>
      </c>
      <c r="O20">
        <f t="shared" si="5"/>
        <v>36.7605</v>
      </c>
      <c r="P20">
        <f t="shared" si="5"/>
        <v>790.62875000000008</v>
      </c>
      <c r="Q20">
        <f t="shared" si="5"/>
        <v>652.11099999999999</v>
      </c>
    </row>
    <row r="21" spans="1:17" x14ac:dyDescent="0.2">
      <c r="A21">
        <v>27937.1</v>
      </c>
      <c r="B21">
        <v>34735.199999999997</v>
      </c>
      <c r="C21">
        <v>47.820700000000002</v>
      </c>
      <c r="D21">
        <v>40.886000000000003</v>
      </c>
      <c r="E21">
        <v>623.90099999999995</v>
      </c>
      <c r="F21">
        <v>694.50900000000001</v>
      </c>
      <c r="G21">
        <f t="shared" si="0"/>
        <v>0.90190222032067058</v>
      </c>
      <c r="H21">
        <f t="shared" si="1"/>
        <v>0.67871087555542908</v>
      </c>
      <c r="J21" t="s">
        <v>25</v>
      </c>
      <c r="L21">
        <f t="shared" ref="L21:Q21" si="6">MAX(A:A)</f>
        <v>49836</v>
      </c>
      <c r="M21">
        <f t="shared" si="6"/>
        <v>49687.4</v>
      </c>
      <c r="N21">
        <f t="shared" si="6"/>
        <v>773.505</v>
      </c>
      <c r="O21">
        <f t="shared" si="6"/>
        <v>495.95100000000002</v>
      </c>
      <c r="P21">
        <f t="shared" si="6"/>
        <v>1949.33</v>
      </c>
      <c r="Q21">
        <f t="shared" si="6"/>
        <v>1971.03</v>
      </c>
    </row>
    <row r="22" spans="1:17" x14ac:dyDescent="0.2">
      <c r="A22">
        <v>38003.699999999997</v>
      </c>
      <c r="B22">
        <v>28209.200000000001</v>
      </c>
      <c r="C22">
        <v>175.90299999999999</v>
      </c>
      <c r="D22">
        <v>61.200400000000002</v>
      </c>
      <c r="E22">
        <v>1543.35</v>
      </c>
      <c r="F22">
        <v>662.24699999999996</v>
      </c>
      <c r="G22">
        <f t="shared" si="0"/>
        <v>0.2004963753837988</v>
      </c>
      <c r="H22">
        <f t="shared" si="1"/>
        <v>0.60620781566963744</v>
      </c>
    </row>
    <row r="23" spans="1:17" x14ac:dyDescent="0.2">
      <c r="A23">
        <v>39646.1</v>
      </c>
      <c r="B23">
        <v>34328.800000000003</v>
      </c>
      <c r="C23">
        <v>47.104399999999998</v>
      </c>
      <c r="D23">
        <v>41.614400000000003</v>
      </c>
      <c r="E23">
        <v>802.91399999999999</v>
      </c>
      <c r="F23">
        <v>710.11699999999996</v>
      </c>
      <c r="G23">
        <f t="shared" si="0"/>
        <v>0.77280853198933697</v>
      </c>
      <c r="H23">
        <f t="shared" si="1"/>
        <v>0.6416076946848589</v>
      </c>
      <c r="J23" t="s">
        <v>26</v>
      </c>
      <c r="L23">
        <f>L18-L17</f>
        <v>27679.187000000002</v>
      </c>
      <c r="M23">
        <f t="shared" ref="M23:Q23" si="7">M18-M17</f>
        <v>18612.264999999999</v>
      </c>
      <c r="N23">
        <f t="shared" si="7"/>
        <v>21.223734999999998</v>
      </c>
      <c r="O23">
        <f t="shared" si="7"/>
        <v>9.8776999999999973</v>
      </c>
      <c r="P23">
        <f t="shared" si="7"/>
        <v>596.31795</v>
      </c>
      <c r="Q23">
        <f t="shared" si="7"/>
        <v>413.24400000000003</v>
      </c>
    </row>
    <row r="24" spans="1:17" x14ac:dyDescent="0.2">
      <c r="A24">
        <v>45138.8</v>
      </c>
      <c r="B24">
        <v>33644.6</v>
      </c>
      <c r="C24">
        <v>97.582499999999996</v>
      </c>
      <c r="D24">
        <v>30.5899</v>
      </c>
      <c r="E24">
        <v>1318.95</v>
      </c>
      <c r="F24">
        <v>660.42700000000002</v>
      </c>
      <c r="G24">
        <f t="shared" si="0"/>
        <v>0.32606399257913082</v>
      </c>
      <c r="H24">
        <f t="shared" si="1"/>
        <v>0.72700348013461724</v>
      </c>
      <c r="J24" t="s">
        <v>27</v>
      </c>
      <c r="L24">
        <f>L19-L18</f>
        <v>5252.0749999999971</v>
      </c>
      <c r="M24">
        <f t="shared" ref="M24:Q24" si="8">M19-M18</f>
        <v>3579.2999999999993</v>
      </c>
      <c r="N24">
        <f t="shared" si="8"/>
        <v>5.9690750000000037</v>
      </c>
      <c r="O24">
        <f t="shared" si="8"/>
        <v>3.4085999999999999</v>
      </c>
      <c r="P24">
        <f t="shared" si="8"/>
        <v>59.271749999999997</v>
      </c>
      <c r="Q24">
        <f t="shared" si="8"/>
        <v>47.373000000000047</v>
      </c>
    </row>
    <row r="25" spans="1:17" x14ac:dyDescent="0.2">
      <c r="A25">
        <v>4239.29</v>
      </c>
      <c r="B25">
        <v>32952.5</v>
      </c>
      <c r="C25">
        <v>194.77199999999999</v>
      </c>
      <c r="D25">
        <v>35.239800000000002</v>
      </c>
      <c r="E25">
        <v>998.56899999999996</v>
      </c>
      <c r="F25">
        <v>671.79</v>
      </c>
      <c r="G25">
        <f t="shared" si="0"/>
        <v>5.3425237913188942E-2</v>
      </c>
      <c r="H25">
        <f t="shared" si="1"/>
        <v>0.68816417440286504</v>
      </c>
      <c r="J25" t="s">
        <v>28</v>
      </c>
      <c r="L25">
        <f>L20-L19</f>
        <v>5304.9500000000044</v>
      </c>
      <c r="M25">
        <f t="shared" ref="M25:Q25" si="9">M20-M19</f>
        <v>4765.5</v>
      </c>
      <c r="N25">
        <f t="shared" si="9"/>
        <v>15.12265</v>
      </c>
      <c r="O25">
        <f t="shared" si="9"/>
        <v>6.4413000000000018</v>
      </c>
      <c r="P25">
        <f t="shared" si="9"/>
        <v>89.912250000000085</v>
      </c>
      <c r="Q25">
        <f t="shared" si="9"/>
        <v>83.41599999999994</v>
      </c>
    </row>
    <row r="26" spans="1:17" x14ac:dyDescent="0.2">
      <c r="A26">
        <v>47095.3</v>
      </c>
      <c r="B26">
        <v>28268.400000000001</v>
      </c>
      <c r="C26">
        <v>88.609800000000007</v>
      </c>
      <c r="D26">
        <v>27.3474</v>
      </c>
      <c r="E26">
        <v>1186.18</v>
      </c>
      <c r="F26">
        <v>606.13400000000001</v>
      </c>
      <c r="G26">
        <f t="shared" si="0"/>
        <v>0.42061607898711123</v>
      </c>
      <c r="H26">
        <f t="shared" si="1"/>
        <v>0.72516143087642693</v>
      </c>
      <c r="J26" t="s">
        <v>29</v>
      </c>
      <c r="L26">
        <f>L21-L20</f>
        <v>11441.849999999999</v>
      </c>
      <c r="M26">
        <f t="shared" ref="M26:Q26" si="10">M21-M20</f>
        <v>21993.800000000003</v>
      </c>
      <c r="N26">
        <f t="shared" si="10"/>
        <v>723.22265000000004</v>
      </c>
      <c r="O26">
        <f t="shared" si="10"/>
        <v>459.19050000000004</v>
      </c>
      <c r="P26">
        <f t="shared" si="10"/>
        <v>1158.7012499999998</v>
      </c>
      <c r="Q26">
        <f t="shared" si="10"/>
        <v>1318.9189999999999</v>
      </c>
    </row>
    <row r="27" spans="1:17" x14ac:dyDescent="0.2">
      <c r="A27">
        <v>31415.1</v>
      </c>
      <c r="B27">
        <v>36706.300000000003</v>
      </c>
      <c r="C27">
        <v>35.0122</v>
      </c>
      <c r="D27">
        <v>30.381499999999999</v>
      </c>
      <c r="E27">
        <v>658.64300000000003</v>
      </c>
      <c r="F27">
        <v>710.221</v>
      </c>
      <c r="G27">
        <f t="shared" si="0"/>
        <v>0.91001338998491632</v>
      </c>
      <c r="H27">
        <f t="shared" si="1"/>
        <v>0.68584243301218373</v>
      </c>
    </row>
    <row r="28" spans="1:17" x14ac:dyDescent="0.2">
      <c r="A28">
        <v>38462.300000000003</v>
      </c>
      <c r="B28">
        <v>30710.799999999999</v>
      </c>
      <c r="C28">
        <v>331.64499999999998</v>
      </c>
      <c r="D28">
        <v>35.855400000000003</v>
      </c>
      <c r="E28">
        <v>1216.18</v>
      </c>
      <c r="F28">
        <v>654.22500000000002</v>
      </c>
      <c r="G28">
        <f t="shared" si="0"/>
        <v>0.32677515835134402</v>
      </c>
      <c r="H28">
        <f t="shared" si="1"/>
        <v>0.67625053014101955</v>
      </c>
    </row>
    <row r="29" spans="1:17" x14ac:dyDescent="0.2">
      <c r="A29">
        <v>33770.9</v>
      </c>
      <c r="B29">
        <v>31279.599999999999</v>
      </c>
      <c r="C29">
        <v>61.642200000000003</v>
      </c>
      <c r="D29">
        <v>39.233400000000003</v>
      </c>
      <c r="E29">
        <v>917.96799999999996</v>
      </c>
      <c r="F29">
        <v>645.92200000000003</v>
      </c>
      <c r="G29">
        <f t="shared" si="0"/>
        <v>0.5036131339408223</v>
      </c>
      <c r="H29">
        <f t="shared" si="1"/>
        <v>0.70659701380662865</v>
      </c>
    </row>
    <row r="30" spans="1:17" x14ac:dyDescent="0.2">
      <c r="A30">
        <v>31421.1</v>
      </c>
      <c r="B30">
        <v>27495.200000000001</v>
      </c>
      <c r="C30">
        <v>34.512300000000003</v>
      </c>
      <c r="D30">
        <v>35.975499999999997</v>
      </c>
      <c r="E30">
        <v>641.44200000000001</v>
      </c>
      <c r="F30">
        <v>599.61199999999997</v>
      </c>
      <c r="G30">
        <f t="shared" si="0"/>
        <v>0.95965713371187433</v>
      </c>
      <c r="H30">
        <f t="shared" si="1"/>
        <v>0.72075391839785596</v>
      </c>
    </row>
    <row r="31" spans="1:17" x14ac:dyDescent="0.2">
      <c r="A31">
        <v>27840.1</v>
      </c>
      <c r="B31">
        <v>34930</v>
      </c>
      <c r="C31">
        <v>161.124</v>
      </c>
      <c r="D31">
        <v>38.134999999999998</v>
      </c>
      <c r="E31">
        <v>1520.61</v>
      </c>
      <c r="F31">
        <v>693.73500000000001</v>
      </c>
      <c r="G31">
        <f t="shared" si="0"/>
        <v>0.15130197729823078</v>
      </c>
      <c r="H31">
        <f t="shared" si="1"/>
        <v>0.68404100196946449</v>
      </c>
    </row>
    <row r="32" spans="1:17" x14ac:dyDescent="0.2">
      <c r="A32">
        <v>37006</v>
      </c>
      <c r="B32">
        <v>28913.4</v>
      </c>
      <c r="C32">
        <v>28.262699999999999</v>
      </c>
      <c r="D32">
        <v>68.028199999999998</v>
      </c>
      <c r="E32">
        <v>702.59299999999996</v>
      </c>
      <c r="F32">
        <v>670.64499999999998</v>
      </c>
      <c r="G32">
        <f t="shared" si="0"/>
        <v>0.94205010987115634</v>
      </c>
      <c r="H32">
        <f t="shared" si="1"/>
        <v>0.60587710687125818</v>
      </c>
    </row>
    <row r="33" spans="1:28" x14ac:dyDescent="0.2">
      <c r="A33">
        <v>42127.6</v>
      </c>
      <c r="B33">
        <v>34574</v>
      </c>
      <c r="C33">
        <v>118.935</v>
      </c>
      <c r="D33">
        <v>41.828699999999998</v>
      </c>
      <c r="E33">
        <v>959.98</v>
      </c>
      <c r="F33">
        <v>706.78599999999994</v>
      </c>
      <c r="G33">
        <f t="shared" si="0"/>
        <v>0.57444948585772249</v>
      </c>
      <c r="H33">
        <f t="shared" si="1"/>
        <v>0.65229569364984652</v>
      </c>
    </row>
    <row r="34" spans="1:28" x14ac:dyDescent="0.2">
      <c r="A34">
        <v>27168.9</v>
      </c>
      <c r="B34">
        <v>34011.699999999997</v>
      </c>
      <c r="C34">
        <v>41.374499999999998</v>
      </c>
      <c r="D34">
        <v>35.686999999999998</v>
      </c>
      <c r="E34">
        <v>635.55499999999995</v>
      </c>
      <c r="F34">
        <v>662.63599999999997</v>
      </c>
      <c r="G34">
        <f t="shared" si="0"/>
        <v>0.84523071976930542</v>
      </c>
      <c r="H34">
        <f t="shared" si="1"/>
        <v>0.73004401822489817</v>
      </c>
    </row>
    <row r="35" spans="1:28" x14ac:dyDescent="0.2">
      <c r="A35">
        <v>35675.599999999999</v>
      </c>
      <c r="B35">
        <v>23317.7</v>
      </c>
      <c r="C35">
        <v>92.934399999999997</v>
      </c>
      <c r="D35">
        <v>26.921099999999999</v>
      </c>
      <c r="E35">
        <v>1018.72</v>
      </c>
      <c r="F35">
        <v>553.43899999999996</v>
      </c>
      <c r="G35">
        <f t="shared" si="0"/>
        <v>0.43198743814519991</v>
      </c>
      <c r="H35">
        <f t="shared" si="1"/>
        <v>0.71749181509474769</v>
      </c>
    </row>
    <row r="36" spans="1:28" x14ac:dyDescent="0.2">
      <c r="A36">
        <v>18332.5</v>
      </c>
      <c r="B36">
        <v>40447.300000000003</v>
      </c>
      <c r="C36">
        <v>106.742</v>
      </c>
      <c r="D36">
        <v>66.730800000000002</v>
      </c>
      <c r="E36">
        <v>755.26400000000001</v>
      </c>
      <c r="F36">
        <v>905.62</v>
      </c>
      <c r="G36">
        <f t="shared" si="0"/>
        <v>0.4038625863268801</v>
      </c>
      <c r="H36">
        <f t="shared" si="1"/>
        <v>0.46480231957261853</v>
      </c>
    </row>
    <row r="37" spans="1:28" x14ac:dyDescent="0.2">
      <c r="A37">
        <v>35551.4</v>
      </c>
      <c r="B37">
        <v>32904.6</v>
      </c>
      <c r="C37">
        <v>42.340299999999999</v>
      </c>
      <c r="D37">
        <v>33.476599999999998</v>
      </c>
      <c r="E37">
        <v>707.654</v>
      </c>
      <c r="F37">
        <v>692.41700000000003</v>
      </c>
      <c r="G37">
        <f t="shared" si="0"/>
        <v>0.89212204908183257</v>
      </c>
      <c r="H37">
        <f t="shared" si="1"/>
        <v>0.64683264816805108</v>
      </c>
    </row>
    <row r="38" spans="1:28" x14ac:dyDescent="0.2">
      <c r="A38">
        <v>1635.96</v>
      </c>
      <c r="B38">
        <v>26826.400000000001</v>
      </c>
      <c r="C38">
        <v>47.183700000000002</v>
      </c>
      <c r="D38">
        <v>25.784099999999999</v>
      </c>
      <c r="E38">
        <v>209.75700000000001</v>
      </c>
      <c r="F38">
        <v>590.11</v>
      </c>
      <c r="G38">
        <f t="shared" si="0"/>
        <v>0.46724993749612909</v>
      </c>
      <c r="H38">
        <f t="shared" si="1"/>
        <v>0.72605113388567322</v>
      </c>
    </row>
    <row r="39" spans="1:28" x14ac:dyDescent="0.2">
      <c r="A39">
        <v>45549.599999999999</v>
      </c>
      <c r="B39">
        <v>42267.1</v>
      </c>
      <c r="C39">
        <v>96.899799999999999</v>
      </c>
      <c r="D39">
        <v>34.8444</v>
      </c>
      <c r="E39">
        <v>1115.6199999999999</v>
      </c>
      <c r="F39">
        <v>766.048</v>
      </c>
      <c r="G39">
        <f t="shared" si="0"/>
        <v>0.45989795873914374</v>
      </c>
      <c r="H39">
        <f t="shared" si="1"/>
        <v>0.67883034180299806</v>
      </c>
    </row>
    <row r="40" spans="1:28" x14ac:dyDescent="0.2">
      <c r="A40">
        <v>42499.7</v>
      </c>
      <c r="B40">
        <v>16269</v>
      </c>
      <c r="C40">
        <v>42.720999999999997</v>
      </c>
      <c r="D40">
        <v>121.53400000000001</v>
      </c>
      <c r="E40">
        <v>760.43100000000004</v>
      </c>
      <c r="F40">
        <v>1194.3499999999999</v>
      </c>
      <c r="G40">
        <f t="shared" si="0"/>
        <v>0.92358258501260704</v>
      </c>
      <c r="H40">
        <f t="shared" si="1"/>
        <v>0.10749008144603001</v>
      </c>
    </row>
    <row r="41" spans="1:28" x14ac:dyDescent="0.2">
      <c r="A41">
        <v>426.03800000000001</v>
      </c>
      <c r="B41">
        <v>29149.7</v>
      </c>
      <c r="C41">
        <v>17.936499999999999</v>
      </c>
      <c r="D41">
        <v>38.501800000000003</v>
      </c>
      <c r="E41">
        <v>76.347999999999999</v>
      </c>
      <c r="F41">
        <v>648.24400000000003</v>
      </c>
      <c r="G41">
        <f t="shared" si="0"/>
        <v>0.91846477479130084</v>
      </c>
      <c r="H41">
        <f t="shared" si="1"/>
        <v>0.65377429132466924</v>
      </c>
      <c r="AA41" t="s">
        <v>31</v>
      </c>
      <c r="AB41" t="s">
        <v>32</v>
      </c>
    </row>
    <row r="42" spans="1:28" x14ac:dyDescent="0.2">
      <c r="A42">
        <v>36086.800000000003</v>
      </c>
      <c r="B42">
        <v>42197.4</v>
      </c>
      <c r="C42">
        <v>69.806299999999993</v>
      </c>
      <c r="D42">
        <v>54.561199999999999</v>
      </c>
      <c r="E42">
        <v>811.51400000000001</v>
      </c>
      <c r="F42">
        <v>795.29</v>
      </c>
      <c r="G42">
        <f t="shared" si="0"/>
        <v>0.6885981264947989</v>
      </c>
      <c r="H42">
        <f t="shared" si="1"/>
        <v>0.62878968678803737</v>
      </c>
      <c r="AA42" s="1">
        <v>0.64900000000000002</v>
      </c>
      <c r="AB42" s="1">
        <v>0.50800000000000001</v>
      </c>
    </row>
    <row r="43" spans="1:28" x14ac:dyDescent="0.2">
      <c r="A43">
        <v>26668.9</v>
      </c>
      <c r="B43">
        <v>37829</v>
      </c>
      <c r="C43">
        <v>20.329699999999999</v>
      </c>
      <c r="D43">
        <v>48.093899999999998</v>
      </c>
      <c r="E43">
        <v>589.22699999999998</v>
      </c>
      <c r="F43">
        <v>742.30200000000002</v>
      </c>
      <c r="G43">
        <f t="shared" si="0"/>
        <v>0.96527114002920789</v>
      </c>
      <c r="H43">
        <f t="shared" si="1"/>
        <v>0.6470448132044242</v>
      </c>
      <c r="W43" s="1"/>
      <c r="AA43" s="1">
        <v>0.68400000000000005</v>
      </c>
      <c r="AB43" s="1">
        <v>0.50600000000000001</v>
      </c>
    </row>
    <row r="44" spans="1:28" x14ac:dyDescent="0.2">
      <c r="A44">
        <v>41655.599999999999</v>
      </c>
      <c r="B44">
        <v>38407.599999999999</v>
      </c>
      <c r="C44">
        <v>93.337100000000007</v>
      </c>
      <c r="D44">
        <v>80.253200000000007</v>
      </c>
      <c r="E44">
        <v>1039.6099999999999</v>
      </c>
      <c r="F44">
        <v>760.16099999999994</v>
      </c>
      <c r="G44">
        <f t="shared" si="0"/>
        <v>0.48433069620012825</v>
      </c>
      <c r="H44">
        <f t="shared" si="1"/>
        <v>0.62643607786906907</v>
      </c>
      <c r="W44" s="1"/>
      <c r="AA44" s="1">
        <v>0.68400000000000005</v>
      </c>
      <c r="AB44" s="1">
        <v>0.5</v>
      </c>
    </row>
    <row r="45" spans="1:28" x14ac:dyDescent="0.2">
      <c r="A45">
        <v>31140.6</v>
      </c>
      <c r="B45">
        <v>36899.5</v>
      </c>
      <c r="C45">
        <v>67.806299999999993</v>
      </c>
      <c r="D45">
        <v>32.362000000000002</v>
      </c>
      <c r="E45">
        <v>709.12900000000002</v>
      </c>
      <c r="F45">
        <v>714.29100000000005</v>
      </c>
      <c r="G45">
        <f t="shared" si="0"/>
        <v>0.77819060017220754</v>
      </c>
      <c r="H45">
        <f t="shared" si="1"/>
        <v>0.68161774122550423</v>
      </c>
      <c r="W45" s="1"/>
      <c r="AA45" s="1">
        <v>0.70099999999999996</v>
      </c>
      <c r="AB45" s="1">
        <v>0.51800000000000002</v>
      </c>
    </row>
    <row r="46" spans="1:28" x14ac:dyDescent="0.2">
      <c r="A46">
        <v>33352.5</v>
      </c>
      <c r="B46">
        <v>28811.9</v>
      </c>
      <c r="C46">
        <v>37.540999999999997</v>
      </c>
      <c r="D46">
        <v>32.700600000000001</v>
      </c>
      <c r="E46">
        <v>663.60599999999999</v>
      </c>
      <c r="F46">
        <v>615.80499999999995</v>
      </c>
      <c r="G46">
        <f t="shared" si="0"/>
        <v>0.95173771997646162</v>
      </c>
      <c r="H46">
        <f t="shared" si="1"/>
        <v>0.71607125066318622</v>
      </c>
      <c r="W46" s="1"/>
      <c r="AA46" s="1">
        <v>0.68</v>
      </c>
      <c r="AB46" s="1">
        <v>0.504</v>
      </c>
    </row>
    <row r="47" spans="1:28" x14ac:dyDescent="0.2">
      <c r="A47">
        <v>43952.4</v>
      </c>
      <c r="B47">
        <v>30600</v>
      </c>
      <c r="C47">
        <v>68.361099999999993</v>
      </c>
      <c r="D47">
        <v>28.036000000000001</v>
      </c>
      <c r="E47">
        <v>963.33100000000002</v>
      </c>
      <c r="F47">
        <v>629.89300000000003</v>
      </c>
      <c r="G47">
        <f t="shared" si="0"/>
        <v>0.59516998263003718</v>
      </c>
      <c r="H47">
        <f t="shared" si="1"/>
        <v>0.72687314365143962</v>
      </c>
      <c r="W47" s="1"/>
      <c r="AA47" s="1">
        <v>0.67500000000000004</v>
      </c>
      <c r="AB47" s="1">
        <v>0.502</v>
      </c>
    </row>
    <row r="48" spans="1:28" x14ac:dyDescent="0.2">
      <c r="A48">
        <v>633.50099999999998</v>
      </c>
      <c r="B48">
        <v>29195.4</v>
      </c>
      <c r="C48">
        <v>25.701499999999999</v>
      </c>
      <c r="D48">
        <v>35.573700000000002</v>
      </c>
      <c r="E48">
        <v>94.097999999999999</v>
      </c>
      <c r="F48">
        <v>636.75699999999995</v>
      </c>
      <c r="G48">
        <f t="shared" si="0"/>
        <v>0.89907519581644368</v>
      </c>
      <c r="H48">
        <f t="shared" si="1"/>
        <v>0.67863731305692676</v>
      </c>
      <c r="W48" s="1"/>
      <c r="AA48" s="1">
        <v>0.7</v>
      </c>
      <c r="AB48" s="1">
        <v>0.51900000000000002</v>
      </c>
    </row>
    <row r="49" spans="1:28" x14ac:dyDescent="0.2">
      <c r="A49">
        <v>39898.5</v>
      </c>
      <c r="B49">
        <v>28943.200000000001</v>
      </c>
      <c r="C49">
        <v>24.865400000000001</v>
      </c>
      <c r="D49">
        <v>28.289400000000001</v>
      </c>
      <c r="E49">
        <v>730.06</v>
      </c>
      <c r="F49">
        <v>620.572</v>
      </c>
      <c r="G49">
        <f t="shared" si="0"/>
        <v>0.94069526396767411</v>
      </c>
      <c r="H49">
        <f t="shared" si="1"/>
        <v>0.70832562464137139</v>
      </c>
      <c r="W49" s="1"/>
      <c r="AA49" s="1">
        <v>0.67800000000000005</v>
      </c>
      <c r="AB49" s="1">
        <v>0.504</v>
      </c>
    </row>
    <row r="50" spans="1:28" x14ac:dyDescent="0.2">
      <c r="A50">
        <v>40469.9</v>
      </c>
      <c r="B50">
        <v>21337.9</v>
      </c>
      <c r="C50">
        <v>23.077200000000001</v>
      </c>
      <c r="D50">
        <v>26.167999999999999</v>
      </c>
      <c r="E50">
        <v>734.83100000000002</v>
      </c>
      <c r="F50">
        <v>528.85199999999998</v>
      </c>
      <c r="G50">
        <f t="shared" si="0"/>
        <v>0.94181735638039699</v>
      </c>
      <c r="H50">
        <f t="shared" si="1"/>
        <v>0.71904179327999651</v>
      </c>
      <c r="W50" s="1"/>
      <c r="AA50" s="1">
        <v>0.66100000000000003</v>
      </c>
      <c r="AB50" s="1">
        <v>0.51</v>
      </c>
    </row>
    <row r="51" spans="1:28" x14ac:dyDescent="0.2">
      <c r="A51">
        <v>30926.9</v>
      </c>
      <c r="B51">
        <v>22084.7</v>
      </c>
      <c r="C51">
        <v>22.255099999999999</v>
      </c>
      <c r="D51">
        <v>31.721499999999999</v>
      </c>
      <c r="E51">
        <v>642.95799999999997</v>
      </c>
      <c r="F51">
        <v>539.15599999999995</v>
      </c>
      <c r="G51">
        <f t="shared" si="0"/>
        <v>0.94011434271582983</v>
      </c>
      <c r="H51">
        <f t="shared" si="1"/>
        <v>0.71603356267340268</v>
      </c>
      <c r="W51" s="1"/>
      <c r="AA51" s="1">
        <v>0.67600000000000005</v>
      </c>
      <c r="AB51" s="1">
        <v>0.48899999999999999</v>
      </c>
    </row>
    <row r="52" spans="1:28" x14ac:dyDescent="0.2">
      <c r="A52">
        <v>32718</v>
      </c>
      <c r="B52">
        <v>18544.3</v>
      </c>
      <c r="C52">
        <v>33.691400000000002</v>
      </c>
      <c r="D52">
        <v>160.51300000000001</v>
      </c>
      <c r="E52">
        <v>662.86099999999999</v>
      </c>
      <c r="F52">
        <v>1465.73</v>
      </c>
      <c r="G52">
        <f t="shared" si="0"/>
        <v>0.93573162993834769</v>
      </c>
      <c r="H52">
        <f t="shared" si="1"/>
        <v>8.1352939768732091E-2</v>
      </c>
      <c r="W52" s="1"/>
      <c r="AA52" s="1">
        <v>0.66700000000000004</v>
      </c>
      <c r="AB52" s="1">
        <v>0.501</v>
      </c>
    </row>
    <row r="53" spans="1:28" x14ac:dyDescent="0.2">
      <c r="A53">
        <v>35652.400000000001</v>
      </c>
      <c r="B53">
        <v>29572.2</v>
      </c>
      <c r="C53">
        <v>58.425400000000003</v>
      </c>
      <c r="D53">
        <v>20.904399999999999</v>
      </c>
      <c r="E53">
        <v>842.18</v>
      </c>
      <c r="F53">
        <v>619.05200000000002</v>
      </c>
      <c r="G53">
        <f t="shared" si="0"/>
        <v>0.63166733683915643</v>
      </c>
      <c r="H53">
        <f t="shared" si="1"/>
        <v>0.72727746877451482</v>
      </c>
      <c r="W53" s="1"/>
      <c r="AA53" s="1">
        <v>0.66100000000000003</v>
      </c>
      <c r="AB53" s="1">
        <v>0.51600000000000001</v>
      </c>
    </row>
    <row r="54" spans="1:28" x14ac:dyDescent="0.2">
      <c r="A54">
        <v>40279.1</v>
      </c>
      <c r="B54">
        <v>21097.599999999999</v>
      </c>
      <c r="C54">
        <v>118.357</v>
      </c>
      <c r="D54">
        <v>30.0534</v>
      </c>
      <c r="E54">
        <v>843.69399999999996</v>
      </c>
      <c r="F54">
        <v>524.16300000000001</v>
      </c>
      <c r="G54">
        <f t="shared" si="0"/>
        <v>0.71108142500094429</v>
      </c>
      <c r="H54">
        <f t="shared" si="1"/>
        <v>0.72372086209615427</v>
      </c>
      <c r="W54" s="1"/>
      <c r="AA54" s="1">
        <v>0.69299999999999995</v>
      </c>
      <c r="AB54" s="1">
        <v>0.49299999999999999</v>
      </c>
    </row>
    <row r="55" spans="1:28" x14ac:dyDescent="0.2">
      <c r="A55">
        <v>27327.5</v>
      </c>
      <c r="B55">
        <v>44406.7</v>
      </c>
      <c r="C55">
        <v>42.657800000000002</v>
      </c>
      <c r="D55">
        <v>27.0335</v>
      </c>
      <c r="E55">
        <v>607.11099999999999</v>
      </c>
      <c r="F55">
        <v>760.827</v>
      </c>
      <c r="G55">
        <f t="shared" si="0"/>
        <v>0.93169378111168977</v>
      </c>
      <c r="H55">
        <f t="shared" si="1"/>
        <v>0.72301520159094224</v>
      </c>
      <c r="W55" s="1"/>
      <c r="AA55" s="1">
        <v>0.67300000000000004</v>
      </c>
      <c r="AB55" s="1">
        <v>0.48699999999999999</v>
      </c>
    </row>
    <row r="56" spans="1:28" x14ac:dyDescent="0.2">
      <c r="A56">
        <v>1351.17</v>
      </c>
      <c r="B56">
        <v>26807.599999999999</v>
      </c>
      <c r="C56">
        <v>39.408999999999999</v>
      </c>
      <c r="D56">
        <v>26.064800000000002</v>
      </c>
      <c r="E56">
        <v>166.02500000000001</v>
      </c>
      <c r="F56">
        <v>602.40099999999995</v>
      </c>
      <c r="G56">
        <f t="shared" si="0"/>
        <v>0.61598837105267568</v>
      </c>
      <c r="H56">
        <f t="shared" si="1"/>
        <v>0.69623736523727497</v>
      </c>
      <c r="W56" s="1"/>
      <c r="AA56" s="1">
        <v>0.68</v>
      </c>
      <c r="AB56" s="1">
        <v>0.48699999999999999</v>
      </c>
    </row>
    <row r="57" spans="1:28" x14ac:dyDescent="0.2">
      <c r="A57">
        <v>36854.800000000003</v>
      </c>
      <c r="B57">
        <v>36138.199999999997</v>
      </c>
      <c r="C57">
        <v>44.900799999999997</v>
      </c>
      <c r="D57">
        <v>50.118099999999998</v>
      </c>
      <c r="E57">
        <v>858.82100000000003</v>
      </c>
      <c r="F57">
        <v>850.10199999999998</v>
      </c>
      <c r="G57">
        <f t="shared" si="0"/>
        <v>0.62791122270952437</v>
      </c>
      <c r="H57">
        <f t="shared" si="1"/>
        <v>0.4712975713657373</v>
      </c>
      <c r="W57" s="1"/>
      <c r="AA57" s="1">
        <v>0.68700000000000006</v>
      </c>
      <c r="AB57" s="1">
        <v>0.5</v>
      </c>
    </row>
    <row r="58" spans="1:28" x14ac:dyDescent="0.2">
      <c r="A58">
        <v>49047.6</v>
      </c>
      <c r="B58">
        <v>33007.4</v>
      </c>
      <c r="C58">
        <v>102.955</v>
      </c>
      <c r="D58">
        <v>23.238499999999998</v>
      </c>
      <c r="E58">
        <v>1126.03</v>
      </c>
      <c r="F58">
        <v>649.649</v>
      </c>
      <c r="G58">
        <f t="shared" si="0"/>
        <v>0.48610191947227388</v>
      </c>
      <c r="H58">
        <f t="shared" si="1"/>
        <v>0.73709680416254675</v>
      </c>
      <c r="W58" s="1"/>
      <c r="AA58" s="1">
        <v>0.68100000000000005</v>
      </c>
      <c r="AB58" s="1">
        <v>0.51700000000000002</v>
      </c>
    </row>
    <row r="59" spans="1:28" x14ac:dyDescent="0.2">
      <c r="A59">
        <v>34480.9</v>
      </c>
      <c r="B59">
        <v>46904.800000000003</v>
      </c>
      <c r="C59">
        <v>72.182100000000005</v>
      </c>
      <c r="D59">
        <v>54.1</v>
      </c>
      <c r="E59">
        <v>962.59500000000003</v>
      </c>
      <c r="F59">
        <v>852.03700000000003</v>
      </c>
      <c r="G59">
        <f t="shared" si="0"/>
        <v>0.46762840898187052</v>
      </c>
      <c r="H59">
        <f t="shared" si="1"/>
        <v>0.60893528470780889</v>
      </c>
      <c r="W59" s="1"/>
      <c r="AA59" s="1">
        <v>0.69199999999999995</v>
      </c>
      <c r="AB59" s="1">
        <v>0.505</v>
      </c>
    </row>
    <row r="60" spans="1:28" x14ac:dyDescent="0.2">
      <c r="A60">
        <v>33757.9</v>
      </c>
      <c r="B60">
        <v>18742.2</v>
      </c>
      <c r="C60">
        <v>31.255700000000001</v>
      </c>
      <c r="D60">
        <v>30.9086</v>
      </c>
      <c r="E60">
        <v>672.27800000000002</v>
      </c>
      <c r="F60">
        <v>497.24200000000002</v>
      </c>
      <c r="G60">
        <f t="shared" si="0"/>
        <v>0.93861420112967586</v>
      </c>
      <c r="H60">
        <f t="shared" si="1"/>
        <v>0.71442347977316956</v>
      </c>
      <c r="W60" s="1"/>
      <c r="AA60" s="1">
        <v>0.67800000000000005</v>
      </c>
      <c r="AB60" s="1">
        <v>0.48899999999999999</v>
      </c>
    </row>
    <row r="61" spans="1:28" x14ac:dyDescent="0.2">
      <c r="A61">
        <v>45406.7</v>
      </c>
      <c r="B61">
        <v>19067</v>
      </c>
      <c r="C61">
        <v>46.357199999999999</v>
      </c>
      <c r="D61">
        <v>34.572299999999998</v>
      </c>
      <c r="E61">
        <v>937.11800000000005</v>
      </c>
      <c r="F61">
        <v>507.399</v>
      </c>
      <c r="G61">
        <f t="shared" si="0"/>
        <v>0.64974190528138798</v>
      </c>
      <c r="H61">
        <f t="shared" si="1"/>
        <v>0.69799757408734708</v>
      </c>
      <c r="W61" s="1"/>
    </row>
    <row r="62" spans="1:28" x14ac:dyDescent="0.2">
      <c r="A62">
        <v>40549.300000000003</v>
      </c>
      <c r="B62">
        <v>31856.5</v>
      </c>
      <c r="C62">
        <v>46.216700000000003</v>
      </c>
      <c r="D62">
        <v>31.815999999999999</v>
      </c>
      <c r="E62">
        <v>764.59199999999998</v>
      </c>
      <c r="F62">
        <v>647.06600000000003</v>
      </c>
      <c r="G62">
        <f t="shared" si="0"/>
        <v>0.87163238797805553</v>
      </c>
      <c r="H62">
        <f t="shared" si="1"/>
        <v>0.71708668545130672</v>
      </c>
      <c r="W62" s="1"/>
      <c r="Z62" t="s">
        <v>33</v>
      </c>
      <c r="AA62">
        <f xml:space="preserve"> AVERAGE(AA42:AA60)</f>
        <v>0.67894736842105252</v>
      </c>
      <c r="AB62">
        <f>AVERAGE(AB42:AB60)</f>
        <v>0.50289473684210539</v>
      </c>
    </row>
    <row r="63" spans="1:28" x14ac:dyDescent="0.2">
      <c r="A63">
        <v>45495</v>
      </c>
      <c r="B63">
        <v>24750</v>
      </c>
      <c r="C63">
        <v>64.430599999999998</v>
      </c>
      <c r="D63">
        <v>21.233899999999998</v>
      </c>
      <c r="E63">
        <v>919.56</v>
      </c>
      <c r="F63">
        <v>567.077</v>
      </c>
      <c r="G63">
        <f t="shared" si="0"/>
        <v>0.67610324964239288</v>
      </c>
      <c r="H63">
        <f t="shared" si="1"/>
        <v>0.72537385417560007</v>
      </c>
      <c r="Z63" t="s">
        <v>34</v>
      </c>
      <c r="AA63">
        <f xml:space="preserve"> STDEV(AA42:AA60)</f>
        <v>1.326010593308834E-2</v>
      </c>
      <c r="AB63">
        <f>STDEV(AB42:AB60)</f>
        <v>1.0439746361553398E-2</v>
      </c>
    </row>
    <row r="64" spans="1:28" x14ac:dyDescent="0.2">
      <c r="A64">
        <v>38576.1</v>
      </c>
      <c r="B64">
        <v>20273.900000000001</v>
      </c>
      <c r="C64">
        <v>56.721600000000002</v>
      </c>
      <c r="D64">
        <v>26.528700000000001</v>
      </c>
      <c r="E64">
        <v>765.43399999999997</v>
      </c>
      <c r="F64">
        <v>521.76</v>
      </c>
      <c r="G64">
        <f t="shared" si="0"/>
        <v>0.82739390499482934</v>
      </c>
      <c r="H64">
        <f t="shared" si="1"/>
        <v>0.70188586704988942</v>
      </c>
      <c r="Z64">
        <f>TTEST(AA42:AA60,AB42:AB60,2,2)</f>
        <v>2.1104117251711851E-33</v>
      </c>
    </row>
    <row r="65" spans="1:8" x14ac:dyDescent="0.2">
      <c r="A65">
        <v>33063.300000000003</v>
      </c>
      <c r="B65">
        <v>19006.099999999999</v>
      </c>
      <c r="C65">
        <v>293.84800000000001</v>
      </c>
      <c r="D65">
        <v>22.2</v>
      </c>
      <c r="E65">
        <v>775.15499999999997</v>
      </c>
      <c r="F65">
        <v>496.13400000000001</v>
      </c>
      <c r="G65">
        <f t="shared" si="0"/>
        <v>0.69147835388255952</v>
      </c>
      <c r="H65">
        <f t="shared" si="1"/>
        <v>0.7277224787670622</v>
      </c>
    </row>
    <row r="66" spans="1:8" x14ac:dyDescent="0.2">
      <c r="A66">
        <v>20168.099999999999</v>
      </c>
      <c r="B66">
        <v>20766.900000000001</v>
      </c>
      <c r="C66">
        <v>53.535899999999998</v>
      </c>
      <c r="D66">
        <v>24.307300000000001</v>
      </c>
      <c r="E66">
        <v>582.70799999999997</v>
      </c>
      <c r="F66">
        <v>516.86300000000006</v>
      </c>
      <c r="G66">
        <f t="shared" si="0"/>
        <v>0.74640153196252335</v>
      </c>
      <c r="H66">
        <f t="shared" si="1"/>
        <v>0.73264154865538844</v>
      </c>
    </row>
    <row r="67" spans="1:8" x14ac:dyDescent="0.2">
      <c r="A67">
        <v>32888</v>
      </c>
      <c r="B67">
        <v>24375.5</v>
      </c>
      <c r="C67">
        <v>151.93199999999999</v>
      </c>
      <c r="D67">
        <v>28.033899999999999</v>
      </c>
      <c r="E67">
        <v>1191.17</v>
      </c>
      <c r="F67">
        <v>577.61</v>
      </c>
      <c r="G67">
        <f t="shared" ref="G67:G130" si="11" xml:space="preserve"> 3.14159*4*A67/(E67*E67)</f>
        <v>0.29127248893750052</v>
      </c>
      <c r="H67">
        <f t="shared" ref="H67:H130" si="12" xml:space="preserve"> 3*3.14159*B67/(F67*F67)</f>
        <v>0.68858076457947304</v>
      </c>
    </row>
    <row r="68" spans="1:8" x14ac:dyDescent="0.2">
      <c r="A68">
        <v>37758.9</v>
      </c>
      <c r="B68">
        <v>41655.4</v>
      </c>
      <c r="C68">
        <v>64.634500000000003</v>
      </c>
      <c r="D68">
        <v>51.189100000000003</v>
      </c>
      <c r="E68">
        <v>792.16300000000001</v>
      </c>
      <c r="F68">
        <v>762.58500000000004</v>
      </c>
      <c r="G68">
        <f t="shared" si="11"/>
        <v>0.75613566589885872</v>
      </c>
      <c r="H68">
        <f t="shared" si="12"/>
        <v>0.67509602804888191</v>
      </c>
    </row>
    <row r="69" spans="1:8" x14ac:dyDescent="0.2">
      <c r="A69">
        <v>36777.9</v>
      </c>
      <c r="B69">
        <v>28551.200000000001</v>
      </c>
      <c r="C69">
        <v>39.3551</v>
      </c>
      <c r="D69">
        <v>22.834</v>
      </c>
      <c r="E69">
        <v>706.24099999999999</v>
      </c>
      <c r="F69">
        <v>610.95000000000005</v>
      </c>
      <c r="G69">
        <f t="shared" si="11"/>
        <v>0.92659632191651775</v>
      </c>
      <c r="H69">
        <f t="shared" si="12"/>
        <v>0.72091454619613182</v>
      </c>
    </row>
    <row r="70" spans="1:8" x14ac:dyDescent="0.2">
      <c r="A70">
        <v>30361.9</v>
      </c>
      <c r="B70">
        <v>18844.900000000001</v>
      </c>
      <c r="C70">
        <v>95.691299999999998</v>
      </c>
      <c r="D70">
        <v>24.343900000000001</v>
      </c>
      <c r="E70">
        <v>1329.9</v>
      </c>
      <c r="F70">
        <v>493.29399999999998</v>
      </c>
      <c r="G70">
        <f t="shared" si="11"/>
        <v>0.21572499653786481</v>
      </c>
      <c r="H70">
        <f t="shared" si="12"/>
        <v>0.72988246746820384</v>
      </c>
    </row>
    <row r="71" spans="1:8" x14ac:dyDescent="0.2">
      <c r="A71">
        <v>32893.199999999997</v>
      </c>
      <c r="B71">
        <v>21197.9</v>
      </c>
      <c r="C71">
        <v>136.255</v>
      </c>
      <c r="D71">
        <v>26.799199999999999</v>
      </c>
      <c r="E71">
        <v>934.57100000000003</v>
      </c>
      <c r="F71">
        <v>542.57500000000005</v>
      </c>
      <c r="G71">
        <f t="shared" si="11"/>
        <v>0.47325043478602763</v>
      </c>
      <c r="H71">
        <f t="shared" si="12"/>
        <v>0.67864716856087148</v>
      </c>
    </row>
    <row r="72" spans="1:8" x14ac:dyDescent="0.2">
      <c r="A72">
        <v>41890.1</v>
      </c>
      <c r="B72">
        <v>21519.200000000001</v>
      </c>
      <c r="C72">
        <v>52.103999999999999</v>
      </c>
      <c r="D72">
        <v>35.603299999999997</v>
      </c>
      <c r="E72">
        <v>976.03099999999995</v>
      </c>
      <c r="F72">
        <v>540.846</v>
      </c>
      <c r="G72">
        <f t="shared" si="11"/>
        <v>0.55257810284829023</v>
      </c>
      <c r="H72">
        <f t="shared" si="12"/>
        <v>0.69334539959158137</v>
      </c>
    </row>
    <row r="73" spans="1:8" x14ac:dyDescent="0.2">
      <c r="A73">
        <v>36670.699999999997</v>
      </c>
      <c r="B73">
        <v>21197.5</v>
      </c>
      <c r="C73">
        <v>39.876600000000003</v>
      </c>
      <c r="D73">
        <v>30.9237</v>
      </c>
      <c r="E73">
        <v>729.15800000000002</v>
      </c>
      <c r="F73">
        <v>521.28200000000004</v>
      </c>
      <c r="G73">
        <f t="shared" si="11"/>
        <v>0.86673314986901118</v>
      </c>
      <c r="H73">
        <f t="shared" si="12"/>
        <v>0.73520753050115384</v>
      </c>
    </row>
    <row r="74" spans="1:8" x14ac:dyDescent="0.2">
      <c r="A74">
        <v>37981.5</v>
      </c>
      <c r="B74">
        <v>24198.6</v>
      </c>
      <c r="C74">
        <v>33.963000000000001</v>
      </c>
      <c r="D74">
        <v>29.615200000000002</v>
      </c>
      <c r="E74">
        <v>702.78499999999997</v>
      </c>
      <c r="F74">
        <v>578.39800000000002</v>
      </c>
      <c r="G74">
        <f t="shared" si="11"/>
        <v>0.96635487634951511</v>
      </c>
      <c r="H74">
        <f t="shared" si="12"/>
        <v>0.68172219900199438</v>
      </c>
    </row>
    <row r="75" spans="1:8" x14ac:dyDescent="0.2">
      <c r="A75">
        <v>18260.400000000001</v>
      </c>
      <c r="B75">
        <v>20970.8</v>
      </c>
      <c r="C75">
        <v>243.99600000000001</v>
      </c>
      <c r="D75">
        <v>23.203399999999998</v>
      </c>
      <c r="E75">
        <v>1170.74</v>
      </c>
      <c r="F75">
        <v>518.904</v>
      </c>
      <c r="G75">
        <f t="shared" si="11"/>
        <v>0.16741673580748864</v>
      </c>
      <c r="H75">
        <f t="shared" si="12"/>
        <v>0.73402647087359207</v>
      </c>
    </row>
    <row r="76" spans="1:8" x14ac:dyDescent="0.2">
      <c r="A76">
        <v>48736.2</v>
      </c>
      <c r="B76">
        <v>20156</v>
      </c>
      <c r="C76">
        <v>93.539199999999994</v>
      </c>
      <c r="D76">
        <v>27.562799999999999</v>
      </c>
      <c r="E76">
        <v>1264.69</v>
      </c>
      <c r="F76">
        <v>515.17700000000002</v>
      </c>
      <c r="G76">
        <f t="shared" si="11"/>
        <v>0.38290672322810332</v>
      </c>
      <c r="H76">
        <f t="shared" si="12"/>
        <v>0.71575135476195351</v>
      </c>
    </row>
    <row r="77" spans="1:8" x14ac:dyDescent="0.2">
      <c r="A77">
        <v>43424.6</v>
      </c>
      <c r="B77">
        <v>37687.199999999997</v>
      </c>
      <c r="C77">
        <v>53.458100000000002</v>
      </c>
      <c r="D77">
        <v>23.424299999999999</v>
      </c>
      <c r="E77">
        <v>798.64400000000001</v>
      </c>
      <c r="F77">
        <v>697.74599999999998</v>
      </c>
      <c r="G77">
        <f t="shared" si="11"/>
        <v>0.85553711981915315</v>
      </c>
      <c r="H77">
        <f t="shared" si="12"/>
        <v>0.72957496343128325</v>
      </c>
    </row>
    <row r="78" spans="1:8" x14ac:dyDescent="0.2">
      <c r="A78">
        <v>19220.3</v>
      </c>
      <c r="B78">
        <v>20254</v>
      </c>
      <c r="C78">
        <v>520.05899999999997</v>
      </c>
      <c r="D78">
        <v>121.32899999999999</v>
      </c>
      <c r="E78">
        <v>1504.48</v>
      </c>
      <c r="F78">
        <v>903.38400000000001</v>
      </c>
      <c r="G78">
        <f t="shared" si="11"/>
        <v>0.10670796108425133</v>
      </c>
      <c r="H78">
        <f t="shared" si="12"/>
        <v>0.23390353068873923</v>
      </c>
    </row>
    <row r="79" spans="1:8" x14ac:dyDescent="0.2">
      <c r="A79">
        <v>26337.7</v>
      </c>
      <c r="B79">
        <v>19491.099999999999</v>
      </c>
      <c r="C79">
        <v>29.0593</v>
      </c>
      <c r="D79">
        <v>30.619700000000002</v>
      </c>
      <c r="E79">
        <v>595.22400000000005</v>
      </c>
      <c r="F79">
        <v>507.50400000000002</v>
      </c>
      <c r="G79">
        <f t="shared" si="11"/>
        <v>0.93417120322884806</v>
      </c>
      <c r="H79">
        <f t="shared" si="12"/>
        <v>0.71322764961568919</v>
      </c>
    </row>
    <row r="80" spans="1:8" x14ac:dyDescent="0.2">
      <c r="A80">
        <v>32511.4</v>
      </c>
      <c r="B80">
        <v>21639.4</v>
      </c>
      <c r="C80">
        <v>61.049199999999999</v>
      </c>
      <c r="D80">
        <v>23.797799999999999</v>
      </c>
      <c r="E80">
        <v>718.20500000000004</v>
      </c>
      <c r="F80">
        <v>532.35199999999998</v>
      </c>
      <c r="G80">
        <f t="shared" si="11"/>
        <v>0.79204219752391647</v>
      </c>
      <c r="H80">
        <f t="shared" si="12"/>
        <v>0.71964480623953675</v>
      </c>
    </row>
    <row r="81" spans="1:8" x14ac:dyDescent="0.2">
      <c r="A81">
        <v>1730.44</v>
      </c>
      <c r="B81">
        <v>2024.48</v>
      </c>
      <c r="C81">
        <v>114.521</v>
      </c>
      <c r="D81">
        <v>210.441</v>
      </c>
      <c r="E81">
        <v>173.18</v>
      </c>
      <c r="F81">
        <v>1269.48</v>
      </c>
      <c r="G81">
        <f t="shared" si="11"/>
        <v>0.72505436602367557</v>
      </c>
      <c r="H81">
        <f t="shared" si="12"/>
        <v>1.1839477183749558E-2</v>
      </c>
    </row>
    <row r="82" spans="1:8" x14ac:dyDescent="0.2">
      <c r="A82">
        <v>31919.8</v>
      </c>
      <c r="B82">
        <v>17390.400000000001</v>
      </c>
      <c r="C82">
        <v>38.619599999999998</v>
      </c>
      <c r="D82">
        <v>31.707000000000001</v>
      </c>
      <c r="E82">
        <v>797.30100000000004</v>
      </c>
      <c r="F82">
        <v>474.02300000000002</v>
      </c>
      <c r="G82">
        <f t="shared" si="11"/>
        <v>0.63099372608940041</v>
      </c>
      <c r="H82">
        <f t="shared" si="12"/>
        <v>0.72942644255719291</v>
      </c>
    </row>
    <row r="83" spans="1:8" x14ac:dyDescent="0.2">
      <c r="A83">
        <v>47175.6</v>
      </c>
      <c r="B83">
        <v>27639.1</v>
      </c>
      <c r="C83">
        <v>26.623000000000001</v>
      </c>
      <c r="D83">
        <v>35.5077</v>
      </c>
      <c r="E83">
        <v>794.87400000000002</v>
      </c>
      <c r="F83">
        <v>612.05799999999999</v>
      </c>
      <c r="G83">
        <f t="shared" si="11"/>
        <v>0.93827543533982838</v>
      </c>
      <c r="H83">
        <f t="shared" si="12"/>
        <v>0.69535967254564668</v>
      </c>
    </row>
    <row r="84" spans="1:8" x14ac:dyDescent="0.2">
      <c r="A84">
        <v>43440.6</v>
      </c>
      <c r="B84">
        <v>21070.7</v>
      </c>
      <c r="C84">
        <v>78.263400000000004</v>
      </c>
      <c r="D84">
        <v>26.459900000000001</v>
      </c>
      <c r="E84">
        <v>1154.2</v>
      </c>
      <c r="F84">
        <v>520.12199999999996</v>
      </c>
      <c r="G84">
        <f t="shared" si="11"/>
        <v>0.40977284246866652</v>
      </c>
      <c r="H84">
        <f t="shared" si="12"/>
        <v>0.73407304410214924</v>
      </c>
    </row>
    <row r="85" spans="1:8" x14ac:dyDescent="0.2">
      <c r="A85">
        <v>45240.800000000003</v>
      </c>
      <c r="B85">
        <v>22509.3</v>
      </c>
      <c r="C85">
        <v>68.267700000000005</v>
      </c>
      <c r="D85">
        <v>26.445599999999999</v>
      </c>
      <c r="E85">
        <v>957.14599999999996</v>
      </c>
      <c r="F85">
        <v>538.91999999999996</v>
      </c>
      <c r="G85">
        <f t="shared" si="11"/>
        <v>0.62055945318968253</v>
      </c>
      <c r="H85">
        <f t="shared" si="12"/>
        <v>0.73043932718724269</v>
      </c>
    </row>
    <row r="86" spans="1:8" x14ac:dyDescent="0.2">
      <c r="A86">
        <v>36926.9</v>
      </c>
      <c r="B86">
        <v>21496.3</v>
      </c>
      <c r="C86">
        <v>73.1858</v>
      </c>
      <c r="D86">
        <v>25.223700000000001</v>
      </c>
      <c r="E86">
        <v>850.53800000000001</v>
      </c>
      <c r="F86">
        <v>540.38699999999994</v>
      </c>
      <c r="G86">
        <f t="shared" si="11"/>
        <v>0.64145309400619044</v>
      </c>
      <c r="H86">
        <f t="shared" si="12"/>
        <v>0.69378465435333536</v>
      </c>
    </row>
    <row r="87" spans="1:8" x14ac:dyDescent="0.2">
      <c r="A87">
        <v>49333</v>
      </c>
      <c r="B87">
        <v>33484.400000000001</v>
      </c>
      <c r="C87">
        <v>96.373800000000003</v>
      </c>
      <c r="D87">
        <v>36.429600000000001</v>
      </c>
      <c r="E87">
        <v>1275.5999999999999</v>
      </c>
      <c r="F87">
        <v>680.32100000000003</v>
      </c>
      <c r="G87">
        <f t="shared" si="11"/>
        <v>0.38099388240346027</v>
      </c>
      <c r="H87">
        <f t="shared" si="12"/>
        <v>0.68184479274936849</v>
      </c>
    </row>
    <row r="88" spans="1:8" x14ac:dyDescent="0.2">
      <c r="A88">
        <v>42020.7</v>
      </c>
      <c r="B88">
        <v>23877.7</v>
      </c>
      <c r="C88">
        <v>69.254300000000001</v>
      </c>
      <c r="D88">
        <v>29.5122</v>
      </c>
      <c r="E88">
        <v>825.96100000000001</v>
      </c>
      <c r="F88">
        <v>566.45000000000005</v>
      </c>
      <c r="G88">
        <f t="shared" si="11"/>
        <v>0.77402269933162537</v>
      </c>
      <c r="H88">
        <f t="shared" si="12"/>
        <v>0.70135854038452117</v>
      </c>
    </row>
    <row r="89" spans="1:8" x14ac:dyDescent="0.2">
      <c r="A89">
        <v>43981.1</v>
      </c>
      <c r="B89">
        <v>22501.200000000001</v>
      </c>
      <c r="C89">
        <v>35.300699999999999</v>
      </c>
      <c r="D89">
        <v>28.835000000000001</v>
      </c>
      <c r="E89">
        <v>759.12300000000005</v>
      </c>
      <c r="F89">
        <v>538.928</v>
      </c>
      <c r="G89">
        <f t="shared" si="11"/>
        <v>0.95907216014221675</v>
      </c>
      <c r="H89">
        <f t="shared" si="12"/>
        <v>0.73015479994158694</v>
      </c>
    </row>
    <row r="90" spans="1:8" x14ac:dyDescent="0.2">
      <c r="A90">
        <v>49566.1</v>
      </c>
      <c r="B90">
        <v>25140.6</v>
      </c>
      <c r="C90">
        <v>64.146900000000002</v>
      </c>
      <c r="D90">
        <v>26.099499999999999</v>
      </c>
      <c r="E90">
        <v>870.54399999999998</v>
      </c>
      <c r="F90">
        <v>573.89599999999996</v>
      </c>
      <c r="G90">
        <f t="shared" si="11"/>
        <v>0.82188828985338014</v>
      </c>
      <c r="H90">
        <f t="shared" si="12"/>
        <v>0.7194158523784594</v>
      </c>
    </row>
    <row r="91" spans="1:8" x14ac:dyDescent="0.2">
      <c r="A91">
        <v>49226.9</v>
      </c>
      <c r="B91">
        <v>39156.9</v>
      </c>
      <c r="C91">
        <v>62.2194</v>
      </c>
      <c r="D91">
        <v>37.866199999999999</v>
      </c>
      <c r="E91">
        <v>879.12400000000002</v>
      </c>
      <c r="F91">
        <v>725.72500000000002</v>
      </c>
      <c r="G91">
        <f t="shared" si="11"/>
        <v>0.8004085365897099</v>
      </c>
      <c r="H91">
        <f t="shared" si="12"/>
        <v>0.70070448041886724</v>
      </c>
    </row>
    <row r="92" spans="1:8" x14ac:dyDescent="0.2">
      <c r="A92">
        <v>35272.699999999997</v>
      </c>
      <c r="B92">
        <v>19817.099999999999</v>
      </c>
      <c r="C92">
        <v>56.999200000000002</v>
      </c>
      <c r="D92">
        <v>27.863499999999998</v>
      </c>
      <c r="E92">
        <v>741.71</v>
      </c>
      <c r="F92">
        <v>506.54899999999998</v>
      </c>
      <c r="G92">
        <f t="shared" si="11"/>
        <v>0.80571218769971031</v>
      </c>
      <c r="H92">
        <f t="shared" si="12"/>
        <v>0.72789366025172608</v>
      </c>
    </row>
    <row r="93" spans="1:8" x14ac:dyDescent="0.2">
      <c r="A93">
        <v>48431.4</v>
      </c>
      <c r="B93">
        <v>24897.4</v>
      </c>
      <c r="C93">
        <v>63.566899999999997</v>
      </c>
      <c r="D93">
        <v>27.679400000000001</v>
      </c>
      <c r="E93">
        <v>1160.94</v>
      </c>
      <c r="F93">
        <v>567.68499999999995</v>
      </c>
      <c r="G93">
        <f t="shared" si="11"/>
        <v>0.45156156602334757</v>
      </c>
      <c r="H93">
        <f t="shared" si="12"/>
        <v>0.72813166715715782</v>
      </c>
    </row>
    <row r="94" spans="1:8" x14ac:dyDescent="0.2">
      <c r="A94">
        <v>43702.2</v>
      </c>
      <c r="B94">
        <v>24228.6</v>
      </c>
      <c r="C94">
        <v>64.843500000000006</v>
      </c>
      <c r="D94">
        <v>27.288599999999999</v>
      </c>
      <c r="E94">
        <v>1094.3599999999999</v>
      </c>
      <c r="F94">
        <v>561.32100000000003</v>
      </c>
      <c r="G94">
        <f t="shared" si="11"/>
        <v>0.45855599528822194</v>
      </c>
      <c r="H94">
        <f t="shared" si="12"/>
        <v>0.72473043547126159</v>
      </c>
    </row>
    <row r="95" spans="1:8" x14ac:dyDescent="0.2">
      <c r="A95">
        <v>42871.3</v>
      </c>
      <c r="B95">
        <v>19757.5</v>
      </c>
      <c r="C95">
        <v>41.190899999999999</v>
      </c>
      <c r="D95">
        <v>27.9651</v>
      </c>
      <c r="E95">
        <v>765.63800000000003</v>
      </c>
      <c r="F95">
        <v>506.14100000000002</v>
      </c>
      <c r="G95">
        <f t="shared" si="11"/>
        <v>0.91902894522310552</v>
      </c>
      <c r="H95">
        <f t="shared" si="12"/>
        <v>0.72687496907041238</v>
      </c>
    </row>
    <row r="96" spans="1:8" x14ac:dyDescent="0.2">
      <c r="A96">
        <v>42795.6</v>
      </c>
      <c r="B96">
        <v>22853.200000000001</v>
      </c>
      <c r="C96">
        <v>38.094499999999996</v>
      </c>
      <c r="D96">
        <v>31.138999999999999</v>
      </c>
      <c r="E96">
        <v>776.29399999999998</v>
      </c>
      <c r="F96">
        <v>547.32500000000005</v>
      </c>
      <c r="G96">
        <f t="shared" si="11"/>
        <v>0.89239300580110659</v>
      </c>
      <c r="H96">
        <f t="shared" si="12"/>
        <v>0.7189972171938197</v>
      </c>
    </row>
    <row r="97" spans="1:8" x14ac:dyDescent="0.2">
      <c r="A97">
        <v>6881.52</v>
      </c>
      <c r="B97">
        <v>18902.099999999999</v>
      </c>
      <c r="C97">
        <v>195.96700000000001</v>
      </c>
      <c r="D97">
        <v>35.003399999999999</v>
      </c>
      <c r="E97">
        <v>1202.53</v>
      </c>
      <c r="F97">
        <v>499.35500000000002</v>
      </c>
      <c r="G97">
        <f t="shared" si="11"/>
        <v>5.980011707067881E-2</v>
      </c>
      <c r="H97">
        <f t="shared" si="12"/>
        <v>0.71443383046125253</v>
      </c>
    </row>
    <row r="98" spans="1:8" x14ac:dyDescent="0.2">
      <c r="A98">
        <v>28088.9</v>
      </c>
      <c r="B98">
        <v>23878.9</v>
      </c>
      <c r="C98">
        <v>22.613199999999999</v>
      </c>
      <c r="D98">
        <v>27.821200000000001</v>
      </c>
      <c r="E98">
        <v>603.79300000000001</v>
      </c>
      <c r="F98">
        <v>559.03399999999999</v>
      </c>
      <c r="G98">
        <f t="shared" si="11"/>
        <v>0.968206695459495</v>
      </c>
      <c r="H98">
        <f t="shared" si="12"/>
        <v>0.72012623513776519</v>
      </c>
    </row>
    <row r="99" spans="1:8" x14ac:dyDescent="0.2">
      <c r="A99">
        <v>39945.199999999997</v>
      </c>
      <c r="B99">
        <v>22005.599999999999</v>
      </c>
      <c r="C99">
        <v>37.056800000000003</v>
      </c>
      <c r="D99">
        <v>28.344000000000001</v>
      </c>
      <c r="E99">
        <v>759.745</v>
      </c>
      <c r="F99">
        <v>536.01400000000001</v>
      </c>
      <c r="G99">
        <f t="shared" si="11"/>
        <v>0.8696377744549556</v>
      </c>
      <c r="H99">
        <f t="shared" si="12"/>
        <v>0.72185789195559058</v>
      </c>
    </row>
    <row r="100" spans="1:8" x14ac:dyDescent="0.2">
      <c r="A100">
        <v>34070.6</v>
      </c>
      <c r="B100">
        <v>25621.9</v>
      </c>
      <c r="C100">
        <v>28.2257</v>
      </c>
      <c r="D100">
        <v>23.248000000000001</v>
      </c>
      <c r="E100">
        <v>692.399</v>
      </c>
      <c r="F100">
        <v>575.31299999999999</v>
      </c>
      <c r="G100">
        <f t="shared" si="11"/>
        <v>0.89305131648141278</v>
      </c>
      <c r="H100">
        <f t="shared" si="12"/>
        <v>0.72958133892989929</v>
      </c>
    </row>
    <row r="101" spans="1:8" x14ac:dyDescent="0.2">
      <c r="A101">
        <v>33030</v>
      </c>
      <c r="B101">
        <v>26623.5</v>
      </c>
      <c r="C101">
        <v>43.904400000000003</v>
      </c>
      <c r="D101">
        <v>32.0413</v>
      </c>
      <c r="E101">
        <v>663.42200000000003</v>
      </c>
      <c r="F101">
        <v>591.53</v>
      </c>
      <c r="G101">
        <f t="shared" si="11"/>
        <v>0.94305784550721361</v>
      </c>
      <c r="H101">
        <f t="shared" si="12"/>
        <v>0.71710435284914265</v>
      </c>
    </row>
    <row r="102" spans="1:8" x14ac:dyDescent="0.2">
      <c r="A102">
        <v>27241.9</v>
      </c>
      <c r="B102">
        <v>4496.1000000000004</v>
      </c>
      <c r="C102">
        <v>25.512799999999999</v>
      </c>
      <c r="D102">
        <v>104</v>
      </c>
      <c r="E102">
        <v>595.20000000000005</v>
      </c>
      <c r="F102">
        <v>851.64800000000002</v>
      </c>
      <c r="G102">
        <f t="shared" si="11"/>
        <v>0.96632017408307669</v>
      </c>
      <c r="H102">
        <f t="shared" si="12"/>
        <v>5.8423350678928856E-2</v>
      </c>
    </row>
    <row r="103" spans="1:8" x14ac:dyDescent="0.2">
      <c r="A103">
        <v>31557.5</v>
      </c>
      <c r="B103">
        <v>29521.599999999999</v>
      </c>
      <c r="C103">
        <v>35.941499999999998</v>
      </c>
      <c r="D103">
        <v>22.408300000000001</v>
      </c>
      <c r="E103">
        <v>656.67700000000002</v>
      </c>
      <c r="F103">
        <v>618.09299999999996</v>
      </c>
      <c r="G103">
        <f t="shared" si="11"/>
        <v>0.9196201468761126</v>
      </c>
      <c r="H103">
        <f t="shared" si="12"/>
        <v>0.72828774445541422</v>
      </c>
    </row>
    <row r="104" spans="1:8" x14ac:dyDescent="0.2">
      <c r="A104">
        <v>36941.1</v>
      </c>
      <c r="B104">
        <v>29772.9</v>
      </c>
      <c r="C104">
        <v>32.017099999999999</v>
      </c>
      <c r="D104">
        <v>26.299399999999999</v>
      </c>
      <c r="E104">
        <v>730.97299999999996</v>
      </c>
      <c r="F104">
        <v>629.84400000000005</v>
      </c>
      <c r="G104">
        <f t="shared" si="11"/>
        <v>0.86879367230031723</v>
      </c>
      <c r="H104">
        <f t="shared" si="12"/>
        <v>0.70733623464234474</v>
      </c>
    </row>
    <row r="105" spans="1:8" x14ac:dyDescent="0.2">
      <c r="A105">
        <v>40974.800000000003</v>
      </c>
      <c r="B105">
        <v>24693.8</v>
      </c>
      <c r="C105">
        <v>74.830399999999997</v>
      </c>
      <c r="D105">
        <v>28.489100000000001</v>
      </c>
      <c r="E105">
        <v>892.64</v>
      </c>
      <c r="F105">
        <v>566.35900000000004</v>
      </c>
      <c r="G105">
        <f t="shared" si="11"/>
        <v>0.64620996595255276</v>
      </c>
      <c r="H105">
        <f t="shared" si="12"/>
        <v>0.72556291080713131</v>
      </c>
    </row>
    <row r="106" spans="1:8" x14ac:dyDescent="0.2">
      <c r="A106">
        <v>37458.1</v>
      </c>
      <c r="B106">
        <v>24169</v>
      </c>
      <c r="C106">
        <v>37.667000000000002</v>
      </c>
      <c r="D106">
        <v>26.059200000000001</v>
      </c>
      <c r="E106">
        <v>783.10500000000002</v>
      </c>
      <c r="F106">
        <v>559.94200000000001</v>
      </c>
      <c r="G106">
        <f t="shared" si="11"/>
        <v>0.76756515011028004</v>
      </c>
      <c r="H106">
        <f t="shared" si="12"/>
        <v>0.72651293994448107</v>
      </c>
    </row>
    <row r="107" spans="1:8" x14ac:dyDescent="0.2">
      <c r="A107">
        <v>38481.1</v>
      </c>
      <c r="B107">
        <v>19753.599999999999</v>
      </c>
      <c r="C107">
        <v>55.884900000000002</v>
      </c>
      <c r="D107">
        <v>28.847300000000001</v>
      </c>
      <c r="E107">
        <v>752.62199999999996</v>
      </c>
      <c r="F107">
        <v>506.71</v>
      </c>
      <c r="G107">
        <f t="shared" si="11"/>
        <v>0.85369582410671352</v>
      </c>
      <c r="H107">
        <f t="shared" si="12"/>
        <v>0.72510026755889279</v>
      </c>
    </row>
    <row r="108" spans="1:8" x14ac:dyDescent="0.2">
      <c r="A108">
        <v>33527.300000000003</v>
      </c>
      <c r="B108">
        <v>22887.200000000001</v>
      </c>
      <c r="C108">
        <v>26.5504</v>
      </c>
      <c r="D108">
        <v>28.614899999999999</v>
      </c>
      <c r="E108">
        <v>687.774</v>
      </c>
      <c r="F108">
        <v>548.37099999999998</v>
      </c>
      <c r="G108">
        <f t="shared" si="11"/>
        <v>0.89066947709800015</v>
      </c>
      <c r="H108">
        <f t="shared" si="12"/>
        <v>0.7173225211676959</v>
      </c>
    </row>
    <row r="109" spans="1:8" x14ac:dyDescent="0.2">
      <c r="A109">
        <v>43700.9</v>
      </c>
      <c r="B109">
        <v>18551.599999999999</v>
      </c>
      <c r="C109">
        <v>26.6052</v>
      </c>
      <c r="D109">
        <v>27.8903</v>
      </c>
      <c r="E109">
        <v>754.45799999999997</v>
      </c>
      <c r="F109">
        <v>498.54599999999999</v>
      </c>
      <c r="G109">
        <f t="shared" si="11"/>
        <v>0.96478322212196066</v>
      </c>
      <c r="H109">
        <f t="shared" si="12"/>
        <v>0.70346364829144581</v>
      </c>
    </row>
    <row r="110" spans="1:8" x14ac:dyDescent="0.2">
      <c r="A110">
        <v>32589.8</v>
      </c>
      <c r="B110">
        <v>30181.9</v>
      </c>
      <c r="C110">
        <v>37.469200000000001</v>
      </c>
      <c r="D110">
        <v>47.5946</v>
      </c>
      <c r="E110">
        <v>663.65899999999999</v>
      </c>
      <c r="F110">
        <v>705.92899999999997</v>
      </c>
      <c r="G110">
        <f t="shared" si="11"/>
        <v>0.929824993639633</v>
      </c>
      <c r="H110">
        <f t="shared" si="12"/>
        <v>0.57081488519969092</v>
      </c>
    </row>
    <row r="111" spans="1:8" x14ac:dyDescent="0.2">
      <c r="A111">
        <v>48445.4</v>
      </c>
      <c r="B111">
        <v>34447.199999999997</v>
      </c>
      <c r="C111">
        <v>67.613100000000003</v>
      </c>
      <c r="D111">
        <v>65.089500000000001</v>
      </c>
      <c r="E111">
        <v>1077.92</v>
      </c>
      <c r="F111">
        <v>947.71100000000001</v>
      </c>
      <c r="G111">
        <f t="shared" si="11"/>
        <v>0.52394896075281749</v>
      </c>
      <c r="H111">
        <f t="shared" si="12"/>
        <v>0.36147048698809126</v>
      </c>
    </row>
    <row r="112" spans="1:8" x14ac:dyDescent="0.2">
      <c r="A112">
        <v>26427.8</v>
      </c>
      <c r="B112">
        <v>20197.400000000001</v>
      </c>
      <c r="C112">
        <v>30.313099999999999</v>
      </c>
      <c r="D112">
        <v>30.049700000000001</v>
      </c>
      <c r="E112">
        <v>583.23299999999995</v>
      </c>
      <c r="F112">
        <v>520.44200000000001</v>
      </c>
      <c r="G112">
        <f t="shared" si="11"/>
        <v>0.97630683757420711</v>
      </c>
      <c r="H112">
        <f t="shared" si="12"/>
        <v>0.70278349401950657</v>
      </c>
    </row>
    <row r="113" spans="1:8" x14ac:dyDescent="0.2">
      <c r="A113">
        <v>33752.9</v>
      </c>
      <c r="B113">
        <v>20446</v>
      </c>
      <c r="C113">
        <v>36.496699999999997</v>
      </c>
      <c r="D113">
        <v>25.7822</v>
      </c>
      <c r="E113">
        <v>669.93399999999997</v>
      </c>
      <c r="F113">
        <v>519.197</v>
      </c>
      <c r="G113">
        <f t="shared" si="11"/>
        <v>0.94505384025167616</v>
      </c>
      <c r="H113">
        <f t="shared" si="12"/>
        <v>0.71484974778038202</v>
      </c>
    </row>
    <row r="114" spans="1:8" x14ac:dyDescent="0.2">
      <c r="A114">
        <v>32070.7</v>
      </c>
      <c r="B114">
        <v>36268.9</v>
      </c>
      <c r="C114">
        <v>54.413699999999999</v>
      </c>
      <c r="D114">
        <v>31.7897</v>
      </c>
      <c r="E114">
        <v>730.74099999999999</v>
      </c>
      <c r="F114">
        <v>858.71600000000001</v>
      </c>
      <c r="G114">
        <f t="shared" si="11"/>
        <v>0.75472891016315657</v>
      </c>
      <c r="H114">
        <f t="shared" si="12"/>
        <v>0.46356008596611314</v>
      </c>
    </row>
    <row r="115" spans="1:8" x14ac:dyDescent="0.2">
      <c r="A115">
        <v>31882</v>
      </c>
      <c r="B115">
        <v>48591.5</v>
      </c>
      <c r="C115">
        <v>32.673000000000002</v>
      </c>
      <c r="D115">
        <v>82.407700000000006</v>
      </c>
      <c r="E115">
        <v>737.49</v>
      </c>
      <c r="F115">
        <v>1217.81</v>
      </c>
      <c r="G115">
        <f t="shared" si="11"/>
        <v>0.73661877313092416</v>
      </c>
      <c r="H115">
        <f t="shared" si="12"/>
        <v>0.30879623353325225</v>
      </c>
    </row>
    <row r="116" spans="1:8" x14ac:dyDescent="0.2">
      <c r="A116">
        <v>31636.9</v>
      </c>
      <c r="B116">
        <v>24776.6</v>
      </c>
      <c r="C116">
        <v>30.968699999999998</v>
      </c>
      <c r="D116">
        <v>33.643700000000003</v>
      </c>
      <c r="E116">
        <v>644.13099999999997</v>
      </c>
      <c r="F116">
        <v>577.32500000000005</v>
      </c>
      <c r="G116">
        <f t="shared" si="11"/>
        <v>0.9581974641666976</v>
      </c>
      <c r="H116">
        <f t="shared" si="12"/>
        <v>0.70060259508053024</v>
      </c>
    </row>
    <row r="117" spans="1:8" x14ac:dyDescent="0.2">
      <c r="A117">
        <v>40187.699999999997</v>
      </c>
      <c r="B117">
        <v>34515.5</v>
      </c>
      <c r="C117">
        <v>144.59399999999999</v>
      </c>
      <c r="D117">
        <v>34.955199999999998</v>
      </c>
      <c r="E117">
        <v>1171.1400000000001</v>
      </c>
      <c r="F117">
        <v>668.24300000000005</v>
      </c>
      <c r="G117">
        <f t="shared" si="11"/>
        <v>0.36820104766102546</v>
      </c>
      <c r="H117">
        <f t="shared" si="12"/>
        <v>0.72847741758057427</v>
      </c>
    </row>
    <row r="118" spans="1:8" x14ac:dyDescent="0.2">
      <c r="A118">
        <v>10795.9</v>
      </c>
      <c r="B118">
        <v>22296.400000000001</v>
      </c>
      <c r="C118">
        <v>264.51299999999998</v>
      </c>
      <c r="D118">
        <v>35.534399999999998</v>
      </c>
      <c r="E118">
        <v>1029.8599999999999</v>
      </c>
      <c r="F118">
        <v>551.27700000000004</v>
      </c>
      <c r="G118">
        <f t="shared" si="11"/>
        <v>0.12791220029737643</v>
      </c>
      <c r="H118">
        <f t="shared" si="12"/>
        <v>0.69145792825021812</v>
      </c>
    </row>
    <row r="119" spans="1:8" x14ac:dyDescent="0.2">
      <c r="A119">
        <v>45126.5</v>
      </c>
      <c r="B119">
        <v>19106.2</v>
      </c>
      <c r="C119">
        <v>33.633499999999998</v>
      </c>
      <c r="D119">
        <v>216.61500000000001</v>
      </c>
      <c r="E119">
        <v>770.06799999999998</v>
      </c>
      <c r="F119">
        <v>959.02700000000004</v>
      </c>
      <c r="G119">
        <f t="shared" si="11"/>
        <v>0.95627542411160293</v>
      </c>
      <c r="H119">
        <f t="shared" si="12"/>
        <v>0.19578680152788572</v>
      </c>
    </row>
    <row r="120" spans="1:8" x14ac:dyDescent="0.2">
      <c r="A120">
        <v>29551.1</v>
      </c>
      <c r="B120">
        <v>45553.599999999999</v>
      </c>
      <c r="C120">
        <v>25.537500000000001</v>
      </c>
      <c r="D120">
        <v>32.834200000000003</v>
      </c>
      <c r="E120">
        <v>628.37099999999998</v>
      </c>
      <c r="F120">
        <v>771.14400000000001</v>
      </c>
      <c r="G120">
        <f t="shared" si="11"/>
        <v>0.94048285201617876</v>
      </c>
      <c r="H120">
        <f t="shared" si="12"/>
        <v>0.72197556102580418</v>
      </c>
    </row>
    <row r="121" spans="1:8" x14ac:dyDescent="0.2">
      <c r="A121">
        <v>22086</v>
      </c>
      <c r="B121">
        <v>24878.9</v>
      </c>
      <c r="C121">
        <v>281.64800000000002</v>
      </c>
      <c r="D121">
        <v>34.584800000000001</v>
      </c>
      <c r="E121">
        <v>1677.77</v>
      </c>
      <c r="F121">
        <v>581.66099999999994</v>
      </c>
      <c r="G121">
        <f t="shared" si="11"/>
        <v>9.8596549346003204E-2</v>
      </c>
      <c r="H121">
        <f t="shared" si="12"/>
        <v>0.69304597216582409</v>
      </c>
    </row>
    <row r="122" spans="1:8" x14ac:dyDescent="0.2">
      <c r="A122">
        <v>39450.300000000003</v>
      </c>
      <c r="B122">
        <v>21499.1</v>
      </c>
      <c r="C122">
        <v>26.171900000000001</v>
      </c>
      <c r="D122">
        <v>28.643000000000001</v>
      </c>
      <c r="E122">
        <v>729.34199999999998</v>
      </c>
      <c r="F122">
        <v>547.76700000000005</v>
      </c>
      <c r="G122">
        <f t="shared" si="11"/>
        <v>0.9319601874942981</v>
      </c>
      <c r="H122">
        <f t="shared" si="12"/>
        <v>0.67530398220719778</v>
      </c>
    </row>
    <row r="123" spans="1:8" x14ac:dyDescent="0.2">
      <c r="A123">
        <v>38130.699999999997</v>
      </c>
      <c r="B123">
        <v>26264.1</v>
      </c>
      <c r="C123">
        <v>24.154699999999998</v>
      </c>
      <c r="D123">
        <v>34.186100000000003</v>
      </c>
      <c r="E123">
        <v>699.20100000000002</v>
      </c>
      <c r="F123">
        <v>595.33299999999997</v>
      </c>
      <c r="G123">
        <f t="shared" si="11"/>
        <v>0.9801221268410989</v>
      </c>
      <c r="H123">
        <f t="shared" si="12"/>
        <v>0.69841469816552637</v>
      </c>
    </row>
    <row r="124" spans="1:8" x14ac:dyDescent="0.2">
      <c r="A124">
        <v>46501.4</v>
      </c>
      <c r="B124">
        <v>24881.7</v>
      </c>
      <c r="C124">
        <v>41.030200000000001</v>
      </c>
      <c r="D124">
        <v>28.802700000000002</v>
      </c>
      <c r="E124">
        <v>810.01599999999996</v>
      </c>
      <c r="F124">
        <v>567.82500000000005</v>
      </c>
      <c r="G124">
        <f t="shared" si="11"/>
        <v>0.89061156534709596</v>
      </c>
      <c r="H124">
        <f t="shared" si="12"/>
        <v>0.72731373799261578</v>
      </c>
    </row>
    <row r="125" spans="1:8" x14ac:dyDescent="0.2">
      <c r="A125">
        <v>41920</v>
      </c>
      <c r="B125">
        <v>22477.599999999999</v>
      </c>
      <c r="C125">
        <v>28.124199999999998</v>
      </c>
      <c r="D125">
        <v>32.400599999999997</v>
      </c>
      <c r="E125">
        <v>744.26700000000005</v>
      </c>
      <c r="F125">
        <v>540.56500000000005</v>
      </c>
      <c r="G125">
        <f t="shared" si="11"/>
        <v>0.95098407553622877</v>
      </c>
      <c r="H125">
        <f t="shared" si="12"/>
        <v>0.72497804224795848</v>
      </c>
    </row>
    <row r="126" spans="1:8" x14ac:dyDescent="0.2">
      <c r="A126">
        <v>39678.699999999997</v>
      </c>
      <c r="B126">
        <v>23028.6</v>
      </c>
      <c r="C126">
        <v>22.508900000000001</v>
      </c>
      <c r="D126">
        <v>30.081700000000001</v>
      </c>
      <c r="E126">
        <v>714.255</v>
      </c>
      <c r="F126">
        <v>551.88900000000001</v>
      </c>
      <c r="G126">
        <f t="shared" si="11"/>
        <v>0.97737303619667015</v>
      </c>
      <c r="H126">
        <f t="shared" si="12"/>
        <v>0.71258195588334727</v>
      </c>
    </row>
    <row r="127" spans="1:8" x14ac:dyDescent="0.2">
      <c r="A127">
        <v>31362.6</v>
      </c>
      <c r="B127">
        <v>24438.7</v>
      </c>
      <c r="C127">
        <v>33.524999999999999</v>
      </c>
      <c r="D127">
        <v>30.7699</v>
      </c>
      <c r="E127">
        <v>642.08900000000006</v>
      </c>
      <c r="F127">
        <v>562.54399999999998</v>
      </c>
      <c r="G127">
        <f t="shared" si="11"/>
        <v>0.95594101728510927</v>
      </c>
      <c r="H127">
        <f t="shared" si="12"/>
        <v>0.72783991186730512</v>
      </c>
    </row>
    <row r="128" spans="1:8" x14ac:dyDescent="0.2">
      <c r="A128">
        <v>18262.099999999999</v>
      </c>
      <c r="B128">
        <v>24036.799999999999</v>
      </c>
      <c r="C128">
        <v>330.88499999999999</v>
      </c>
      <c r="D128">
        <v>28.716699999999999</v>
      </c>
      <c r="E128">
        <v>1606.93</v>
      </c>
      <c r="F128">
        <v>568.69500000000005</v>
      </c>
      <c r="G128">
        <f t="shared" si="11"/>
        <v>8.8872274730263656E-2</v>
      </c>
      <c r="H128">
        <f t="shared" si="12"/>
        <v>0.7004684689502706</v>
      </c>
    </row>
    <row r="129" spans="1:8" x14ac:dyDescent="0.2">
      <c r="A129">
        <v>12001.4</v>
      </c>
      <c r="B129">
        <v>20496.900000000001</v>
      </c>
      <c r="C129">
        <v>214.90100000000001</v>
      </c>
      <c r="D129">
        <v>25.2925</v>
      </c>
      <c r="E129">
        <v>1327.06</v>
      </c>
      <c r="F129">
        <v>514.572</v>
      </c>
      <c r="G129">
        <f t="shared" si="11"/>
        <v>8.5636772292402352E-2</v>
      </c>
      <c r="H129">
        <f t="shared" si="12"/>
        <v>0.72956945221930747</v>
      </c>
    </row>
    <row r="130" spans="1:8" x14ac:dyDescent="0.2">
      <c r="A130">
        <v>34829.599999999999</v>
      </c>
      <c r="B130">
        <v>21933.9</v>
      </c>
      <c r="C130">
        <v>29.226099999999999</v>
      </c>
      <c r="D130">
        <v>26.936299999999999</v>
      </c>
      <c r="E130">
        <v>684.96199999999999</v>
      </c>
      <c r="F130">
        <v>540.505</v>
      </c>
      <c r="G130">
        <f t="shared" si="11"/>
        <v>0.93287837723318745</v>
      </c>
      <c r="H130">
        <f t="shared" si="12"/>
        <v>0.7075989635557306</v>
      </c>
    </row>
    <row r="131" spans="1:8" x14ac:dyDescent="0.2">
      <c r="A131">
        <v>44912.4</v>
      </c>
      <c r="B131">
        <v>23142.3</v>
      </c>
      <c r="C131">
        <v>28.759799999999998</v>
      </c>
      <c r="D131">
        <v>26.651199999999999</v>
      </c>
      <c r="E131">
        <v>760.48500000000001</v>
      </c>
      <c r="F131">
        <v>553.78399999999999</v>
      </c>
      <c r="G131">
        <f t="shared" ref="G131:G194" si="13" xml:space="preserve"> 3.14159*4*A131/(E131*E131)</f>
        <v>0.97587559180641315</v>
      </c>
      <c r="H131">
        <f t="shared" ref="H131:H194" si="14" xml:space="preserve"> 3*3.14159*B131/(F131*F131)</f>
        <v>0.71120773603833753</v>
      </c>
    </row>
    <row r="132" spans="1:8" x14ac:dyDescent="0.2">
      <c r="A132">
        <v>37615.1</v>
      </c>
      <c r="B132">
        <v>26227</v>
      </c>
      <c r="C132">
        <v>25.804099999999998</v>
      </c>
      <c r="D132">
        <v>25.7834</v>
      </c>
      <c r="E132">
        <v>709.50599999999997</v>
      </c>
      <c r="F132">
        <v>591.98299999999995</v>
      </c>
      <c r="G132">
        <f t="shared" si="13"/>
        <v>0.93898698567761374</v>
      </c>
      <c r="H132">
        <f t="shared" si="14"/>
        <v>0.70534388624194755</v>
      </c>
    </row>
    <row r="133" spans="1:8" x14ac:dyDescent="0.2">
      <c r="A133">
        <v>44999.199999999997</v>
      </c>
      <c r="B133">
        <v>26217.8</v>
      </c>
      <c r="C133">
        <v>32.052</v>
      </c>
      <c r="D133">
        <v>32.3127</v>
      </c>
      <c r="E133">
        <v>787.32899999999995</v>
      </c>
      <c r="F133">
        <v>600.55899999999997</v>
      </c>
      <c r="G133">
        <f t="shared" si="13"/>
        <v>0.91222462909286184</v>
      </c>
      <c r="H133">
        <f t="shared" si="14"/>
        <v>0.68510264990800152</v>
      </c>
    </row>
    <row r="134" spans="1:8" x14ac:dyDescent="0.2">
      <c r="A134">
        <v>49829.9</v>
      </c>
      <c r="B134">
        <v>18703.599999999999</v>
      </c>
      <c r="C134">
        <v>36.2102</v>
      </c>
      <c r="D134">
        <v>27.4253</v>
      </c>
      <c r="E134">
        <v>822.06799999999998</v>
      </c>
      <c r="F134">
        <v>502.35300000000001</v>
      </c>
      <c r="G134">
        <f t="shared" si="13"/>
        <v>0.92658235711459302</v>
      </c>
      <c r="H134">
        <f t="shared" si="14"/>
        <v>0.69851858605885297</v>
      </c>
    </row>
    <row r="135" spans="1:8" x14ac:dyDescent="0.2">
      <c r="A135">
        <v>38609.4</v>
      </c>
      <c r="B135">
        <v>29095.4</v>
      </c>
      <c r="C135">
        <v>34.7256</v>
      </c>
      <c r="D135">
        <v>26.8384</v>
      </c>
      <c r="E135">
        <v>765.702</v>
      </c>
      <c r="F135">
        <v>619.49699999999996</v>
      </c>
      <c r="G135">
        <f t="shared" si="13"/>
        <v>0.82752855168251438</v>
      </c>
      <c r="H135">
        <f t="shared" si="14"/>
        <v>0.71452376441049692</v>
      </c>
    </row>
    <row r="136" spans="1:8" x14ac:dyDescent="0.2">
      <c r="A136">
        <v>36123.4</v>
      </c>
      <c r="B136">
        <v>24644.1</v>
      </c>
      <c r="C136">
        <v>25.145700000000001</v>
      </c>
      <c r="D136">
        <v>30.2486</v>
      </c>
      <c r="E136">
        <v>688.93</v>
      </c>
      <c r="F136">
        <v>565.54600000000005</v>
      </c>
      <c r="G136">
        <f t="shared" si="13"/>
        <v>0.95641840208588857</v>
      </c>
      <c r="H136">
        <f t="shared" si="14"/>
        <v>0.72618596805004731</v>
      </c>
    </row>
    <row r="137" spans="1:8" x14ac:dyDescent="0.2">
      <c r="A137">
        <v>35343.9</v>
      </c>
      <c r="B137">
        <v>22067.4</v>
      </c>
      <c r="C137">
        <v>31.3949</v>
      </c>
      <c r="D137">
        <v>28.1783</v>
      </c>
      <c r="E137">
        <v>684.59900000000005</v>
      </c>
      <c r="F137">
        <v>534.87800000000004</v>
      </c>
      <c r="G137">
        <f t="shared" si="13"/>
        <v>0.94765759171158848</v>
      </c>
      <c r="H137">
        <f t="shared" si="14"/>
        <v>0.72696325080142732</v>
      </c>
    </row>
    <row r="138" spans="1:8" x14ac:dyDescent="0.2">
      <c r="A138">
        <v>48332.2</v>
      </c>
      <c r="B138">
        <v>19444.7</v>
      </c>
      <c r="C138">
        <v>32.575600000000001</v>
      </c>
      <c r="D138">
        <v>32.314100000000003</v>
      </c>
      <c r="E138">
        <v>814.03499999999997</v>
      </c>
      <c r="F138">
        <v>505.774</v>
      </c>
      <c r="G138">
        <f t="shared" si="13"/>
        <v>0.91655789983652747</v>
      </c>
      <c r="H138">
        <f t="shared" si="14"/>
        <v>0.71640565857476501</v>
      </c>
    </row>
    <row r="139" spans="1:8" x14ac:dyDescent="0.2">
      <c r="A139">
        <v>39065.5</v>
      </c>
      <c r="B139">
        <v>19348.8</v>
      </c>
      <c r="C139">
        <v>18.9983</v>
      </c>
      <c r="D139">
        <v>29.765499999999999</v>
      </c>
      <c r="E139">
        <v>704.06</v>
      </c>
      <c r="F139">
        <v>517.08000000000004</v>
      </c>
      <c r="G139">
        <f t="shared" si="13"/>
        <v>0.99033822403154115</v>
      </c>
      <c r="H139">
        <f t="shared" si="14"/>
        <v>0.68203916783326701</v>
      </c>
    </row>
    <row r="140" spans="1:8" x14ac:dyDescent="0.2">
      <c r="A140">
        <v>43950.9</v>
      </c>
      <c r="B140">
        <v>27706.7</v>
      </c>
      <c r="C140">
        <v>23.548999999999999</v>
      </c>
      <c r="D140">
        <v>31.446899999999999</v>
      </c>
      <c r="E140">
        <v>750.33600000000001</v>
      </c>
      <c r="F140">
        <v>598.28800000000001</v>
      </c>
      <c r="G140">
        <f t="shared" si="13"/>
        <v>0.98099253464250136</v>
      </c>
      <c r="H140">
        <f t="shared" si="14"/>
        <v>0.72951626388949442</v>
      </c>
    </row>
    <row r="141" spans="1:8" x14ac:dyDescent="0.2">
      <c r="A141">
        <v>33414.1</v>
      </c>
      <c r="B141">
        <v>20760.5</v>
      </c>
      <c r="C141">
        <v>29.630299999999998</v>
      </c>
      <c r="D141">
        <v>24.970400000000001</v>
      </c>
      <c r="E141">
        <v>657.83100000000002</v>
      </c>
      <c r="F141">
        <v>518.41700000000003</v>
      </c>
      <c r="G141">
        <f t="shared" si="13"/>
        <v>0.97031019399154428</v>
      </c>
      <c r="H141">
        <f t="shared" si="14"/>
        <v>0.7280313825625262</v>
      </c>
    </row>
    <row r="142" spans="1:8" x14ac:dyDescent="0.2">
      <c r="A142">
        <v>41519.599999999999</v>
      </c>
      <c r="B142">
        <v>33208.5</v>
      </c>
      <c r="C142">
        <v>26.581800000000001</v>
      </c>
      <c r="D142">
        <v>23.714300000000001</v>
      </c>
      <c r="E142">
        <v>729.89099999999996</v>
      </c>
      <c r="F142">
        <v>656.43200000000002</v>
      </c>
      <c r="G142">
        <f t="shared" si="13"/>
        <v>0.97936964891356215</v>
      </c>
      <c r="H142">
        <f t="shared" si="14"/>
        <v>0.72634095349067374</v>
      </c>
    </row>
    <row r="143" spans="1:8" x14ac:dyDescent="0.2">
      <c r="A143">
        <v>4180.46</v>
      </c>
      <c r="B143">
        <v>26298.2</v>
      </c>
      <c r="C143">
        <v>40.148000000000003</v>
      </c>
      <c r="D143">
        <v>35.717199999999998</v>
      </c>
      <c r="E143">
        <v>1129.32</v>
      </c>
      <c r="F143">
        <v>590.50699999999995</v>
      </c>
      <c r="G143">
        <f t="shared" si="13"/>
        <v>4.1190733964257882E-2</v>
      </c>
      <c r="H143">
        <f t="shared" si="14"/>
        <v>0.71079879694231929</v>
      </c>
    </row>
    <row r="144" spans="1:8" x14ac:dyDescent="0.2">
      <c r="A144">
        <v>5400.2</v>
      </c>
      <c r="B144">
        <v>21069.8</v>
      </c>
      <c r="C144">
        <v>78.001000000000005</v>
      </c>
      <c r="D144">
        <v>32.400700000000001</v>
      </c>
      <c r="E144">
        <v>1208.3800000000001</v>
      </c>
      <c r="F144">
        <v>537.97299999999996</v>
      </c>
      <c r="G144">
        <f t="shared" si="13"/>
        <v>4.6474238720365553E-2</v>
      </c>
      <c r="H144">
        <f t="shared" si="14"/>
        <v>0.68613601273216496</v>
      </c>
    </row>
    <row r="145" spans="1:8" x14ac:dyDescent="0.2">
      <c r="A145">
        <v>36089.5</v>
      </c>
      <c r="B145">
        <v>23596.2</v>
      </c>
      <c r="C145">
        <v>33.612400000000001</v>
      </c>
      <c r="D145">
        <v>33.427100000000003</v>
      </c>
      <c r="E145">
        <v>715.08799999999997</v>
      </c>
      <c r="F145">
        <v>560.904</v>
      </c>
      <c r="G145">
        <f t="shared" si="13"/>
        <v>0.88689331643984026</v>
      </c>
      <c r="H145">
        <f t="shared" si="14"/>
        <v>0.70686382248273949</v>
      </c>
    </row>
    <row r="146" spans="1:8" x14ac:dyDescent="0.2">
      <c r="A146">
        <v>32357</v>
      </c>
      <c r="B146">
        <v>19382.2</v>
      </c>
      <c r="C146">
        <v>27.131699999999999</v>
      </c>
      <c r="D146">
        <v>30.143699999999999</v>
      </c>
      <c r="E146">
        <v>645.95100000000002</v>
      </c>
      <c r="F146">
        <v>497.72199999999998</v>
      </c>
      <c r="G146">
        <f t="shared" si="13"/>
        <v>0.97449271383069447</v>
      </c>
      <c r="H146">
        <f t="shared" si="14"/>
        <v>0.73739494490683388</v>
      </c>
    </row>
    <row r="147" spans="1:8" x14ac:dyDescent="0.2">
      <c r="A147">
        <v>34102.800000000003</v>
      </c>
      <c r="B147">
        <v>28073.3</v>
      </c>
      <c r="C147">
        <v>24.3979</v>
      </c>
      <c r="D147">
        <v>26.1995</v>
      </c>
      <c r="E147">
        <v>662.96100000000001</v>
      </c>
      <c r="F147">
        <v>605.76900000000001</v>
      </c>
      <c r="G147">
        <f t="shared" si="13"/>
        <v>0.97504256140897327</v>
      </c>
      <c r="H147">
        <f t="shared" si="14"/>
        <v>0.72102469227294264</v>
      </c>
    </row>
    <row r="148" spans="1:8" x14ac:dyDescent="0.2">
      <c r="A148">
        <v>34350.1</v>
      </c>
      <c r="B148">
        <v>22317.9</v>
      </c>
      <c r="C148">
        <v>24.097000000000001</v>
      </c>
      <c r="D148">
        <v>25.7956</v>
      </c>
      <c r="E148">
        <v>670.29600000000005</v>
      </c>
      <c r="F148">
        <v>536.66899999999998</v>
      </c>
      <c r="G148">
        <f t="shared" si="13"/>
        <v>0.96073640448350361</v>
      </c>
      <c r="H148">
        <f t="shared" si="14"/>
        <v>0.73031642609427516</v>
      </c>
    </row>
    <row r="149" spans="1:8" x14ac:dyDescent="0.2">
      <c r="A149">
        <v>38484.300000000003</v>
      </c>
      <c r="B149">
        <v>39768.9</v>
      </c>
      <c r="C149">
        <v>27.624500000000001</v>
      </c>
      <c r="D149">
        <v>25.439399999999999</v>
      </c>
      <c r="E149">
        <v>704.87699999999995</v>
      </c>
      <c r="F149">
        <v>713.41</v>
      </c>
      <c r="G149">
        <f t="shared" si="13"/>
        <v>0.97334411849051194</v>
      </c>
      <c r="H149">
        <f t="shared" si="14"/>
        <v>0.73643759995328351</v>
      </c>
    </row>
    <row r="150" spans="1:8" x14ac:dyDescent="0.2">
      <c r="A150">
        <v>37460</v>
      </c>
      <c r="B150">
        <v>25880.5</v>
      </c>
      <c r="C150">
        <v>21.911000000000001</v>
      </c>
      <c r="D150">
        <v>26.995200000000001</v>
      </c>
      <c r="E150">
        <v>693.24</v>
      </c>
      <c r="F150">
        <v>590.255</v>
      </c>
      <c r="G150">
        <f t="shared" si="13"/>
        <v>0.97951263635471408</v>
      </c>
      <c r="H150">
        <f t="shared" si="14"/>
        <v>0.70010644191957772</v>
      </c>
    </row>
    <row r="151" spans="1:8" x14ac:dyDescent="0.2">
      <c r="A151">
        <v>43345.3</v>
      </c>
      <c r="B151">
        <v>25644.6</v>
      </c>
      <c r="C151">
        <v>28.4481</v>
      </c>
      <c r="D151">
        <v>28.4467</v>
      </c>
      <c r="E151">
        <v>756.1</v>
      </c>
      <c r="F151">
        <v>573.24400000000003</v>
      </c>
      <c r="G151">
        <f t="shared" si="13"/>
        <v>0.95278088188819177</v>
      </c>
      <c r="H151">
        <f t="shared" si="14"/>
        <v>0.73550842948287953</v>
      </c>
    </row>
    <row r="152" spans="1:8" x14ac:dyDescent="0.2">
      <c r="A152">
        <v>38614.400000000001</v>
      </c>
      <c r="B152">
        <v>10971.9</v>
      </c>
      <c r="C152">
        <v>29.519100000000002</v>
      </c>
      <c r="D152">
        <v>179.08</v>
      </c>
      <c r="E152">
        <v>704.66800000000001</v>
      </c>
      <c r="F152">
        <v>1336.37</v>
      </c>
      <c r="G152">
        <f t="shared" si="13"/>
        <v>0.97721401800245344</v>
      </c>
      <c r="H152">
        <f t="shared" si="14"/>
        <v>5.7902746750828189E-2</v>
      </c>
    </row>
    <row r="153" spans="1:8" x14ac:dyDescent="0.2">
      <c r="A153">
        <v>42551.6</v>
      </c>
      <c r="B153">
        <v>7701.47</v>
      </c>
      <c r="C153">
        <v>25.201699999999999</v>
      </c>
      <c r="D153">
        <v>188.96799999999999</v>
      </c>
      <c r="E153">
        <v>747.43200000000002</v>
      </c>
      <c r="F153">
        <v>1267.07</v>
      </c>
      <c r="G153">
        <f t="shared" si="13"/>
        <v>0.95715443732435435</v>
      </c>
      <c r="H153">
        <f t="shared" si="14"/>
        <v>4.5210902012390052E-2</v>
      </c>
    </row>
    <row r="154" spans="1:8" x14ac:dyDescent="0.2">
      <c r="A154">
        <v>38455.5</v>
      </c>
      <c r="B154">
        <v>29931.3</v>
      </c>
      <c r="C154">
        <v>27.918199999999999</v>
      </c>
      <c r="D154">
        <v>25.87</v>
      </c>
      <c r="E154">
        <v>731.91700000000003</v>
      </c>
      <c r="F154">
        <v>618.16300000000001</v>
      </c>
      <c r="G154">
        <f t="shared" si="13"/>
        <v>0.90207841402741762</v>
      </c>
      <c r="H154">
        <f t="shared" si="14"/>
        <v>0.73822768255537641</v>
      </c>
    </row>
    <row r="155" spans="1:8" x14ac:dyDescent="0.2">
      <c r="A155">
        <v>31903.200000000001</v>
      </c>
      <c r="B155">
        <v>16217.9</v>
      </c>
      <c r="C155">
        <v>29.906500000000001</v>
      </c>
      <c r="D155">
        <v>30.4802</v>
      </c>
      <c r="E155">
        <v>672.27300000000002</v>
      </c>
      <c r="F155">
        <v>466.50200000000001</v>
      </c>
      <c r="G155">
        <f t="shared" si="13"/>
        <v>0.88705879243893471</v>
      </c>
      <c r="H155">
        <f t="shared" si="14"/>
        <v>0.70235771747001863</v>
      </c>
    </row>
    <row r="156" spans="1:8" x14ac:dyDescent="0.2">
      <c r="A156">
        <v>34188.9</v>
      </c>
      <c r="B156">
        <v>22276.5</v>
      </c>
      <c r="C156">
        <v>26.772500000000001</v>
      </c>
      <c r="D156">
        <v>30.302900000000001</v>
      </c>
      <c r="E156">
        <v>669.37099999999998</v>
      </c>
      <c r="F156">
        <v>534.91800000000001</v>
      </c>
      <c r="G156">
        <f t="shared" si="13"/>
        <v>0.95887244656952997</v>
      </c>
      <c r="H156">
        <f t="shared" si="14"/>
        <v>0.7337418551198811</v>
      </c>
    </row>
    <row r="157" spans="1:8" x14ac:dyDescent="0.2">
      <c r="A157">
        <v>33263</v>
      </c>
      <c r="B157">
        <v>22196.7</v>
      </c>
      <c r="C157">
        <v>28.9726</v>
      </c>
      <c r="D157">
        <v>30.0215</v>
      </c>
      <c r="E157">
        <v>663.12</v>
      </c>
      <c r="F157">
        <v>535.471</v>
      </c>
      <c r="G157">
        <f t="shared" si="13"/>
        <v>0.95057559428246585</v>
      </c>
      <c r="H157">
        <f t="shared" si="14"/>
        <v>0.72960409407845372</v>
      </c>
    </row>
    <row r="158" spans="1:8" x14ac:dyDescent="0.2">
      <c r="A158">
        <v>30496.7</v>
      </c>
      <c r="B158">
        <v>32219.200000000001</v>
      </c>
      <c r="C158">
        <v>23.011600000000001</v>
      </c>
      <c r="D158">
        <v>24.3431</v>
      </c>
      <c r="E158">
        <v>623.971</v>
      </c>
      <c r="F158">
        <v>651.00099999999998</v>
      </c>
      <c r="G158">
        <f t="shared" si="13"/>
        <v>0.98431370825608488</v>
      </c>
      <c r="H158">
        <f t="shared" si="14"/>
        <v>0.71650991075381998</v>
      </c>
    </row>
    <row r="159" spans="1:8" x14ac:dyDescent="0.2">
      <c r="A159">
        <v>39163.4</v>
      </c>
      <c r="B159">
        <v>18152</v>
      </c>
      <c r="C159">
        <v>26.2349</v>
      </c>
      <c r="D159">
        <v>41.2271</v>
      </c>
      <c r="E159">
        <v>713.14300000000003</v>
      </c>
      <c r="F159">
        <v>508.416</v>
      </c>
      <c r="G159">
        <f t="shared" si="13"/>
        <v>0.96769085811936528</v>
      </c>
      <c r="H159">
        <f t="shared" si="14"/>
        <v>0.66184581111843266</v>
      </c>
    </row>
    <row r="160" spans="1:8" x14ac:dyDescent="0.2">
      <c r="A160">
        <v>41287.699999999997</v>
      </c>
      <c r="B160">
        <v>24126.799999999999</v>
      </c>
      <c r="C160">
        <v>49.485199999999999</v>
      </c>
      <c r="D160">
        <v>34.832999999999998</v>
      </c>
      <c r="E160">
        <v>741.08900000000006</v>
      </c>
      <c r="F160">
        <v>574.77800000000002</v>
      </c>
      <c r="G160">
        <f t="shared" si="13"/>
        <v>0.94469029438035534</v>
      </c>
      <c r="H160">
        <f t="shared" si="14"/>
        <v>0.68828802070653916</v>
      </c>
    </row>
    <row r="161" spans="1:8" x14ac:dyDescent="0.2">
      <c r="A161">
        <v>41033.1</v>
      </c>
      <c r="B161">
        <v>30264.2</v>
      </c>
      <c r="C161">
        <v>40.036499999999997</v>
      </c>
      <c r="D161">
        <v>25.095600000000001</v>
      </c>
      <c r="E161">
        <v>729.65599999999995</v>
      </c>
      <c r="F161">
        <v>632.01499999999999</v>
      </c>
      <c r="G161">
        <f t="shared" si="13"/>
        <v>0.96851758336756211</v>
      </c>
      <c r="H161">
        <f t="shared" si="14"/>
        <v>0.71407723413959434</v>
      </c>
    </row>
    <row r="162" spans="1:8" x14ac:dyDescent="0.2">
      <c r="A162">
        <v>33122.9</v>
      </c>
      <c r="B162">
        <v>24787.1</v>
      </c>
      <c r="C162">
        <v>18.915199999999999</v>
      </c>
      <c r="D162">
        <v>34.284199999999998</v>
      </c>
      <c r="E162">
        <v>653.43299999999999</v>
      </c>
      <c r="F162">
        <v>591.58799999999997</v>
      </c>
      <c r="G162">
        <f t="shared" si="13"/>
        <v>0.97484534748775709</v>
      </c>
      <c r="H162">
        <f t="shared" si="14"/>
        <v>0.66750998639697434</v>
      </c>
    </row>
    <row r="163" spans="1:8" x14ac:dyDescent="0.2">
      <c r="A163">
        <v>43020.800000000003</v>
      </c>
      <c r="B163">
        <v>19484.8</v>
      </c>
      <c r="C163">
        <v>30.495899999999999</v>
      </c>
      <c r="D163">
        <v>25.912199999999999</v>
      </c>
      <c r="E163">
        <v>759.13099999999997</v>
      </c>
      <c r="F163">
        <v>502.68</v>
      </c>
      <c r="G163">
        <f t="shared" si="13"/>
        <v>0.93811164260588498</v>
      </c>
      <c r="H163">
        <f t="shared" si="14"/>
        <v>0.7267474224525603</v>
      </c>
    </row>
    <row r="164" spans="1:8" x14ac:dyDescent="0.2">
      <c r="A164">
        <v>35952.9</v>
      </c>
      <c r="B164">
        <v>4722.7299999999996</v>
      </c>
      <c r="C164">
        <v>27.017900000000001</v>
      </c>
      <c r="D164">
        <v>133.821</v>
      </c>
      <c r="E164">
        <v>679.22400000000005</v>
      </c>
      <c r="F164">
        <v>1094.1500000000001</v>
      </c>
      <c r="G164">
        <f t="shared" si="13"/>
        <v>0.97930366055805651</v>
      </c>
      <c r="H164">
        <f t="shared" si="14"/>
        <v>3.7180065345713234E-2</v>
      </c>
    </row>
    <row r="165" spans="1:8" x14ac:dyDescent="0.2">
      <c r="A165">
        <v>41562.5</v>
      </c>
      <c r="B165">
        <v>42674.9</v>
      </c>
      <c r="C165">
        <v>23.8538</v>
      </c>
      <c r="D165">
        <v>57.5077</v>
      </c>
      <c r="E165">
        <v>728.94399999999996</v>
      </c>
      <c r="F165">
        <v>1031.8900000000001</v>
      </c>
      <c r="G165">
        <f t="shared" si="13"/>
        <v>0.98293053928884233</v>
      </c>
      <c r="H165">
        <f t="shared" si="14"/>
        <v>0.37772563954589022</v>
      </c>
    </row>
    <row r="166" spans="1:8" x14ac:dyDescent="0.2">
      <c r="A166">
        <v>38998.699999999997</v>
      </c>
      <c r="B166">
        <v>31301.599999999999</v>
      </c>
      <c r="C166">
        <v>29.270199999999999</v>
      </c>
      <c r="D166">
        <v>29.088100000000001</v>
      </c>
      <c r="E166">
        <v>706.15300000000002</v>
      </c>
      <c r="F166">
        <v>646.92100000000005</v>
      </c>
      <c r="G166">
        <f t="shared" si="13"/>
        <v>0.98279290034985622</v>
      </c>
      <c r="H166">
        <f t="shared" si="14"/>
        <v>0.70491183072856345</v>
      </c>
    </row>
    <row r="167" spans="1:8" x14ac:dyDescent="0.2">
      <c r="A167">
        <v>34105.300000000003</v>
      </c>
      <c r="B167">
        <v>21494.1</v>
      </c>
      <c r="C167">
        <v>24.430099999999999</v>
      </c>
      <c r="D167">
        <v>25.476400000000002</v>
      </c>
      <c r="E167">
        <v>659.93</v>
      </c>
      <c r="F167">
        <v>529.16</v>
      </c>
      <c r="G167">
        <f t="shared" si="13"/>
        <v>0.98409183418601687</v>
      </c>
      <c r="H167">
        <f t="shared" si="14"/>
        <v>0.72346247550754428</v>
      </c>
    </row>
    <row r="168" spans="1:8" x14ac:dyDescent="0.2">
      <c r="A168">
        <v>33768.1</v>
      </c>
      <c r="B168">
        <v>19753.7</v>
      </c>
      <c r="C168">
        <v>26.3735</v>
      </c>
      <c r="D168">
        <v>24.169699999999999</v>
      </c>
      <c r="E168">
        <v>672.11</v>
      </c>
      <c r="F168">
        <v>503.55099999999999</v>
      </c>
      <c r="G168">
        <f t="shared" si="13"/>
        <v>0.93936723554765678</v>
      </c>
      <c r="H168">
        <f t="shared" si="14"/>
        <v>0.7342302763474533</v>
      </c>
    </row>
    <row r="169" spans="1:8" x14ac:dyDescent="0.2">
      <c r="A169">
        <v>45466.5</v>
      </c>
      <c r="B169">
        <v>32761.200000000001</v>
      </c>
      <c r="C169">
        <v>26.7684</v>
      </c>
      <c r="D169">
        <v>143.614</v>
      </c>
      <c r="E169">
        <v>763.41</v>
      </c>
      <c r="F169">
        <v>1098.95</v>
      </c>
      <c r="G169">
        <f t="shared" si="13"/>
        <v>0.98035943249991253</v>
      </c>
      <c r="H169">
        <f t="shared" si="14"/>
        <v>0.25566701144426124</v>
      </c>
    </row>
    <row r="170" spans="1:8" x14ac:dyDescent="0.2">
      <c r="A170">
        <v>39189.199999999997</v>
      </c>
      <c r="B170">
        <v>17900.8</v>
      </c>
      <c r="C170">
        <v>20.668299999999999</v>
      </c>
      <c r="D170">
        <v>28.628</v>
      </c>
      <c r="E170">
        <v>705.03399999999999</v>
      </c>
      <c r="F170">
        <v>480.548</v>
      </c>
      <c r="G170">
        <f t="shared" si="13"/>
        <v>0.99073104676894075</v>
      </c>
      <c r="H170">
        <f t="shared" si="14"/>
        <v>0.73058315205868951</v>
      </c>
    </row>
    <row r="171" spans="1:8" x14ac:dyDescent="0.2">
      <c r="A171">
        <v>34222.300000000003</v>
      </c>
      <c r="B171">
        <v>29207.200000000001</v>
      </c>
      <c r="C171">
        <v>33.6663</v>
      </c>
      <c r="D171">
        <v>51.3934</v>
      </c>
      <c r="E171">
        <v>670.15700000000004</v>
      </c>
      <c r="F171">
        <v>775.26700000000005</v>
      </c>
      <c r="G171">
        <f t="shared" si="13"/>
        <v>0.95755907094627035</v>
      </c>
      <c r="H171">
        <f t="shared" si="14"/>
        <v>0.45799220748241726</v>
      </c>
    </row>
    <row r="172" spans="1:8" x14ac:dyDescent="0.2">
      <c r="A172">
        <v>40064.6</v>
      </c>
      <c r="B172">
        <v>28548.799999999999</v>
      </c>
      <c r="C172">
        <v>32.893099999999997</v>
      </c>
      <c r="D172">
        <v>50.536799999999999</v>
      </c>
      <c r="E172">
        <v>737.53599999999994</v>
      </c>
      <c r="F172">
        <v>789.68499999999995</v>
      </c>
      <c r="G172">
        <f t="shared" si="13"/>
        <v>0.92555847354490051</v>
      </c>
      <c r="H172">
        <f t="shared" si="14"/>
        <v>0.43147023505744908</v>
      </c>
    </row>
    <row r="173" spans="1:8" x14ac:dyDescent="0.2">
      <c r="A173">
        <v>33340</v>
      </c>
      <c r="B173">
        <v>46527</v>
      </c>
      <c r="C173">
        <v>25.7255</v>
      </c>
      <c r="D173">
        <v>64.334999999999994</v>
      </c>
      <c r="E173">
        <v>653.50400000000002</v>
      </c>
      <c r="F173">
        <v>929.61400000000003</v>
      </c>
      <c r="G173">
        <f t="shared" si="13"/>
        <v>0.98102165106635364</v>
      </c>
      <c r="H173">
        <f t="shared" si="14"/>
        <v>0.50742341068085772</v>
      </c>
    </row>
    <row r="174" spans="1:8" x14ac:dyDescent="0.2">
      <c r="A174">
        <v>36079.5</v>
      </c>
      <c r="B174">
        <v>21441.1</v>
      </c>
      <c r="C174">
        <v>20.750299999999999</v>
      </c>
      <c r="D174">
        <v>28.170300000000001</v>
      </c>
      <c r="E174">
        <v>679.45600000000002</v>
      </c>
      <c r="F174">
        <v>534.702</v>
      </c>
      <c r="G174">
        <f t="shared" si="13"/>
        <v>0.98208105067342644</v>
      </c>
      <c r="H174">
        <f t="shared" si="14"/>
        <v>0.70679619990207354</v>
      </c>
    </row>
    <row r="175" spans="1:8" x14ac:dyDescent="0.2">
      <c r="A175">
        <v>37712.6</v>
      </c>
      <c r="B175">
        <v>25951.200000000001</v>
      </c>
      <c r="C175">
        <v>31.565100000000001</v>
      </c>
      <c r="D175">
        <v>28.473700000000001</v>
      </c>
      <c r="E175">
        <v>697.78399999999999</v>
      </c>
      <c r="F175">
        <v>590.35599999999999</v>
      </c>
      <c r="G175">
        <f t="shared" si="13"/>
        <v>0.97331621374780852</v>
      </c>
      <c r="H175">
        <f t="shared" si="14"/>
        <v>0.70177879645661279</v>
      </c>
    </row>
    <row r="176" spans="1:8" x14ac:dyDescent="0.2">
      <c r="A176">
        <v>35957.699999999997</v>
      </c>
      <c r="B176">
        <v>25847.3</v>
      </c>
      <c r="C176">
        <v>31.994399999999999</v>
      </c>
      <c r="D176">
        <v>29.201599999999999</v>
      </c>
      <c r="E176">
        <v>688.08399999999995</v>
      </c>
      <c r="F176">
        <v>597.23699999999997</v>
      </c>
      <c r="G176">
        <f t="shared" si="13"/>
        <v>0.95437374489379623</v>
      </c>
      <c r="H176">
        <f t="shared" si="14"/>
        <v>0.68295569927300503</v>
      </c>
    </row>
    <row r="177" spans="1:8" x14ac:dyDescent="0.2">
      <c r="A177">
        <v>36116</v>
      </c>
      <c r="B177">
        <v>28916.5</v>
      </c>
      <c r="C177">
        <v>27.973299999999998</v>
      </c>
      <c r="D177">
        <v>27.388300000000001</v>
      </c>
      <c r="E177">
        <v>705.22</v>
      </c>
      <c r="F177">
        <v>619.053</v>
      </c>
      <c r="G177">
        <f t="shared" si="13"/>
        <v>0.91255678985169619</v>
      </c>
      <c r="H177">
        <f t="shared" si="14"/>
        <v>0.71114935589359007</v>
      </c>
    </row>
    <row r="178" spans="1:8" x14ac:dyDescent="0.2">
      <c r="A178">
        <v>36297.300000000003</v>
      </c>
      <c r="B178">
        <v>25426.6</v>
      </c>
      <c r="C178">
        <v>33.357900000000001</v>
      </c>
      <c r="D178">
        <v>32.680999999999997</v>
      </c>
      <c r="E178">
        <v>689.90700000000004</v>
      </c>
      <c r="F178">
        <v>585.94600000000003</v>
      </c>
      <c r="G178">
        <f t="shared" si="13"/>
        <v>0.95830270764364389</v>
      </c>
      <c r="H178">
        <f t="shared" si="14"/>
        <v>0.6979814228907093</v>
      </c>
    </row>
    <row r="179" spans="1:8" x14ac:dyDescent="0.2">
      <c r="A179">
        <v>37388.6</v>
      </c>
      <c r="B179">
        <v>18384.8</v>
      </c>
      <c r="C179">
        <v>26.3917</v>
      </c>
      <c r="D179">
        <v>34.227200000000003</v>
      </c>
      <c r="E179">
        <v>712.52300000000002</v>
      </c>
      <c r="F179">
        <v>490.411</v>
      </c>
      <c r="G179">
        <f t="shared" si="13"/>
        <v>0.92544566431476272</v>
      </c>
      <c r="H179">
        <f t="shared" si="14"/>
        <v>0.72045898926967511</v>
      </c>
    </row>
    <row r="180" spans="1:8" x14ac:dyDescent="0.2">
      <c r="A180">
        <v>41687.599999999999</v>
      </c>
      <c r="B180">
        <v>20549</v>
      </c>
      <c r="C180">
        <v>21.554500000000001</v>
      </c>
      <c r="D180">
        <v>26.1708</v>
      </c>
      <c r="E180">
        <v>731.12400000000002</v>
      </c>
      <c r="F180">
        <v>524.70799999999997</v>
      </c>
      <c r="G180">
        <f t="shared" si="13"/>
        <v>0.98001858005897236</v>
      </c>
      <c r="H180">
        <f t="shared" si="14"/>
        <v>0.70343841440320387</v>
      </c>
    </row>
    <row r="181" spans="1:8" x14ac:dyDescent="0.2">
      <c r="A181">
        <v>35645.199999999997</v>
      </c>
      <c r="B181">
        <v>25232.400000000001</v>
      </c>
      <c r="C181">
        <v>31.682300000000001</v>
      </c>
      <c r="D181">
        <v>191.53700000000001</v>
      </c>
      <c r="E181">
        <v>682.83799999999997</v>
      </c>
      <c r="F181">
        <v>750.70600000000002</v>
      </c>
      <c r="G181">
        <f t="shared" si="13"/>
        <v>0.96067212585118755</v>
      </c>
      <c r="H181">
        <f t="shared" si="14"/>
        <v>0.42197774539861921</v>
      </c>
    </row>
    <row r="182" spans="1:8" x14ac:dyDescent="0.2">
      <c r="A182">
        <v>38245.800000000003</v>
      </c>
      <c r="B182">
        <v>45401.2</v>
      </c>
      <c r="C182">
        <v>47.604900000000001</v>
      </c>
      <c r="D182">
        <v>23.3993</v>
      </c>
      <c r="E182">
        <v>741.07600000000002</v>
      </c>
      <c r="F182">
        <v>766.29300000000001</v>
      </c>
      <c r="G182">
        <f t="shared" si="13"/>
        <v>0.87512028222735327</v>
      </c>
      <c r="H182">
        <f t="shared" si="14"/>
        <v>0.7286993392845913</v>
      </c>
    </row>
    <row r="183" spans="1:8" x14ac:dyDescent="0.2">
      <c r="A183">
        <v>46192.4</v>
      </c>
      <c r="B183">
        <v>25143.9</v>
      </c>
      <c r="C183">
        <v>36.523499999999999</v>
      </c>
      <c r="D183">
        <v>27.348099999999999</v>
      </c>
      <c r="E183">
        <v>774.928</v>
      </c>
      <c r="F183">
        <v>582.88499999999999</v>
      </c>
      <c r="G183">
        <f t="shared" si="13"/>
        <v>0.96662343030650788</v>
      </c>
      <c r="H183">
        <f t="shared" si="14"/>
        <v>0.69748944961149206</v>
      </c>
    </row>
    <row r="184" spans="1:8" x14ac:dyDescent="0.2">
      <c r="A184">
        <v>38142.6</v>
      </c>
      <c r="B184">
        <v>35047.199999999997</v>
      </c>
      <c r="C184">
        <v>33.012700000000002</v>
      </c>
      <c r="D184">
        <v>38.147199999999998</v>
      </c>
      <c r="E184">
        <v>707.57100000000003</v>
      </c>
      <c r="F184">
        <v>675.35799999999995</v>
      </c>
      <c r="G184">
        <f t="shared" si="13"/>
        <v>0.95736983795353381</v>
      </c>
      <c r="H184">
        <f t="shared" si="14"/>
        <v>0.72419578053758715</v>
      </c>
    </row>
    <row r="185" spans="1:8" x14ac:dyDescent="0.2">
      <c r="A185">
        <v>43802.1</v>
      </c>
      <c r="B185">
        <v>23078.5</v>
      </c>
      <c r="C185">
        <v>46.841700000000003</v>
      </c>
      <c r="D185">
        <v>27.274000000000001</v>
      </c>
      <c r="E185">
        <v>769.09500000000003</v>
      </c>
      <c r="F185">
        <v>561.14300000000003</v>
      </c>
      <c r="G185">
        <f t="shared" si="13"/>
        <v>0.93056015667790459</v>
      </c>
      <c r="H185">
        <f t="shared" si="14"/>
        <v>0.69076645538370862</v>
      </c>
    </row>
    <row r="186" spans="1:8" x14ac:dyDescent="0.2">
      <c r="A186">
        <v>43532.1</v>
      </c>
      <c r="B186">
        <v>26715.1</v>
      </c>
      <c r="C186">
        <v>66.611599999999996</v>
      </c>
      <c r="D186">
        <v>27.610499999999998</v>
      </c>
      <c r="E186">
        <v>850.02800000000002</v>
      </c>
      <c r="F186">
        <v>598.90599999999995</v>
      </c>
      <c r="G186">
        <f t="shared" si="13"/>
        <v>0.75709896422385781</v>
      </c>
      <c r="H186">
        <f t="shared" si="14"/>
        <v>0.70195655964338566</v>
      </c>
    </row>
    <row r="187" spans="1:8" x14ac:dyDescent="0.2">
      <c r="A187">
        <v>36810.400000000001</v>
      </c>
      <c r="B187">
        <v>23045.8</v>
      </c>
      <c r="C187">
        <v>33.954599999999999</v>
      </c>
      <c r="D187">
        <v>23.0047</v>
      </c>
      <c r="E187">
        <v>701.12300000000005</v>
      </c>
      <c r="F187">
        <v>550.63499999999999</v>
      </c>
      <c r="G187">
        <f t="shared" si="13"/>
        <v>0.94100429482422854</v>
      </c>
      <c r="H187">
        <f t="shared" si="14"/>
        <v>0.7163659306010669</v>
      </c>
    </row>
    <row r="188" spans="1:8" x14ac:dyDescent="0.2">
      <c r="A188">
        <v>38146.699999999997</v>
      </c>
      <c r="B188">
        <v>24445</v>
      </c>
      <c r="C188">
        <v>25.532399999999999</v>
      </c>
      <c r="D188">
        <v>31.521599999999999</v>
      </c>
      <c r="E188">
        <v>715.75699999999995</v>
      </c>
      <c r="F188">
        <v>562.87900000000002</v>
      </c>
      <c r="G188">
        <f t="shared" si="13"/>
        <v>0.93569705587907115</v>
      </c>
      <c r="H188">
        <f t="shared" si="14"/>
        <v>0.72716122021788354</v>
      </c>
    </row>
    <row r="189" spans="1:8" x14ac:dyDescent="0.2">
      <c r="A189">
        <v>43782.7</v>
      </c>
      <c r="B189">
        <v>23715.200000000001</v>
      </c>
      <c r="C189">
        <v>33.956600000000002</v>
      </c>
      <c r="D189">
        <v>26.040800000000001</v>
      </c>
      <c r="E189">
        <v>760.19</v>
      </c>
      <c r="F189">
        <v>564.18200000000002</v>
      </c>
      <c r="G189">
        <f t="shared" si="13"/>
        <v>0.952067483575324</v>
      </c>
      <c r="H189">
        <f t="shared" si="14"/>
        <v>0.70219721079746888</v>
      </c>
    </row>
    <row r="190" spans="1:8" x14ac:dyDescent="0.2">
      <c r="A190">
        <v>36467.699999999997</v>
      </c>
      <c r="B190">
        <v>27693.599999999999</v>
      </c>
      <c r="C190">
        <v>35.466700000000003</v>
      </c>
      <c r="D190">
        <v>27.164899999999999</v>
      </c>
      <c r="E190">
        <v>717.66600000000005</v>
      </c>
      <c r="F190">
        <v>606.95500000000004</v>
      </c>
      <c r="G190">
        <f t="shared" si="13"/>
        <v>0.88976051126490963</v>
      </c>
      <c r="H190">
        <f t="shared" si="14"/>
        <v>0.70849565110698143</v>
      </c>
    </row>
    <row r="191" spans="1:8" x14ac:dyDescent="0.2">
      <c r="A191">
        <v>44141.1</v>
      </c>
      <c r="B191">
        <v>26723.3</v>
      </c>
      <c r="C191">
        <v>30.0106</v>
      </c>
      <c r="D191">
        <v>34.493699999999997</v>
      </c>
      <c r="E191">
        <v>756.91700000000003</v>
      </c>
      <c r="F191">
        <v>605.10299999999995</v>
      </c>
      <c r="G191">
        <f t="shared" si="13"/>
        <v>0.96818005121342698</v>
      </c>
      <c r="H191">
        <f t="shared" si="14"/>
        <v>0.6878634531010086</v>
      </c>
    </row>
    <row r="192" spans="1:8" x14ac:dyDescent="0.2">
      <c r="A192">
        <v>33405.5</v>
      </c>
      <c r="B192">
        <v>19388.099999999999</v>
      </c>
      <c r="C192">
        <v>26.760100000000001</v>
      </c>
      <c r="D192">
        <v>27.369199999999999</v>
      </c>
      <c r="E192">
        <v>653.03899999999999</v>
      </c>
      <c r="F192">
        <v>500.36</v>
      </c>
      <c r="G192">
        <f t="shared" si="13"/>
        <v>0.98434929993401143</v>
      </c>
      <c r="H192">
        <f t="shared" si="14"/>
        <v>0.72986215308701441</v>
      </c>
    </row>
    <row r="193" spans="1:8" x14ac:dyDescent="0.2">
      <c r="A193">
        <v>31955.9</v>
      </c>
      <c r="B193">
        <v>18979.900000000001</v>
      </c>
      <c r="C193">
        <v>26.681799999999999</v>
      </c>
      <c r="D193">
        <v>27.297499999999999</v>
      </c>
      <c r="E193">
        <v>643.95399999999995</v>
      </c>
      <c r="F193">
        <v>505.46499999999997</v>
      </c>
      <c r="G193">
        <f t="shared" si="13"/>
        <v>0.96839125786073532</v>
      </c>
      <c r="H193">
        <f t="shared" si="14"/>
        <v>0.70013615054585621</v>
      </c>
    </row>
    <row r="194" spans="1:8" x14ac:dyDescent="0.2">
      <c r="A194">
        <v>25422.1</v>
      </c>
      <c r="B194">
        <v>29632.6</v>
      </c>
      <c r="C194">
        <v>37.505800000000001</v>
      </c>
      <c r="D194">
        <v>22.078900000000001</v>
      </c>
      <c r="E194">
        <v>603.74699999999996</v>
      </c>
      <c r="F194">
        <v>623.84199999999998</v>
      </c>
      <c r="G194">
        <f t="shared" si="13"/>
        <v>0.87641731344680351</v>
      </c>
      <c r="H194">
        <f t="shared" si="14"/>
        <v>0.71761465451261286</v>
      </c>
    </row>
    <row r="195" spans="1:8" x14ac:dyDescent="0.2">
      <c r="A195">
        <v>35361.4</v>
      </c>
      <c r="B195">
        <v>25837.9</v>
      </c>
      <c r="C195">
        <v>28.6</v>
      </c>
      <c r="D195">
        <v>29.23</v>
      </c>
      <c r="E195">
        <v>672.745</v>
      </c>
      <c r="F195">
        <v>589.01900000000001</v>
      </c>
      <c r="G195">
        <f t="shared" ref="G195:G258" si="15" xml:space="preserve"> 3.14159*4*A195/(E195*E195)</f>
        <v>0.98183382712243783</v>
      </c>
      <c r="H195">
        <f t="shared" ref="H195:H258" si="16" xml:space="preserve"> 3*3.14159*B195/(F195*F195)</f>
        <v>0.70189050191946745</v>
      </c>
    </row>
    <row r="196" spans="1:8" x14ac:dyDescent="0.2">
      <c r="A196">
        <v>34952.6</v>
      </c>
      <c r="B196">
        <v>2325.7800000000002</v>
      </c>
      <c r="C196">
        <v>32.628300000000003</v>
      </c>
      <c r="D196">
        <v>54.899700000000003</v>
      </c>
      <c r="E196">
        <v>675.35699999999997</v>
      </c>
      <c r="F196">
        <v>587.08699999999999</v>
      </c>
      <c r="G196">
        <f t="shared" si="15"/>
        <v>0.96299087703832553</v>
      </c>
      <c r="H196">
        <f t="shared" si="16"/>
        <v>6.3596682961126583E-2</v>
      </c>
    </row>
    <row r="197" spans="1:8" x14ac:dyDescent="0.2">
      <c r="A197">
        <v>34863.4</v>
      </c>
      <c r="B197">
        <v>24606.1</v>
      </c>
      <c r="C197">
        <v>27.500499999999999</v>
      </c>
      <c r="D197">
        <v>32.158799999999999</v>
      </c>
      <c r="E197">
        <v>671.596</v>
      </c>
      <c r="F197">
        <v>564.58900000000006</v>
      </c>
      <c r="G197">
        <f t="shared" si="15"/>
        <v>0.97132157248910955</v>
      </c>
      <c r="H197">
        <f t="shared" si="16"/>
        <v>0.72752633803648736</v>
      </c>
    </row>
    <row r="198" spans="1:8" x14ac:dyDescent="0.2">
      <c r="A198">
        <v>38647.199999999997</v>
      </c>
      <c r="B198">
        <v>22067.9</v>
      </c>
      <c r="C198">
        <v>25.03</v>
      </c>
      <c r="D198">
        <v>31.1614</v>
      </c>
      <c r="E198">
        <v>706.85199999999998</v>
      </c>
      <c r="F198">
        <v>534.726</v>
      </c>
      <c r="G198">
        <f t="shared" si="15"/>
        <v>0.97200958947984595</v>
      </c>
      <c r="H198">
        <f t="shared" si="16"/>
        <v>0.72739308018686799</v>
      </c>
    </row>
    <row r="199" spans="1:8" x14ac:dyDescent="0.2">
      <c r="A199">
        <v>34209.800000000003</v>
      </c>
      <c r="B199">
        <v>19640.900000000001</v>
      </c>
      <c r="C199">
        <v>24.427099999999999</v>
      </c>
      <c r="D199">
        <v>24.026399999999999</v>
      </c>
      <c r="E199">
        <v>665.75199999999995</v>
      </c>
      <c r="F199">
        <v>502</v>
      </c>
      <c r="G199">
        <f t="shared" si="15"/>
        <v>0.96991811980038245</v>
      </c>
      <c r="H199">
        <f t="shared" si="16"/>
        <v>0.73455566218393353</v>
      </c>
    </row>
    <row r="200" spans="1:8" x14ac:dyDescent="0.2">
      <c r="A200">
        <v>35427.599999999999</v>
      </c>
      <c r="B200">
        <v>27806.5</v>
      </c>
      <c r="C200">
        <v>36.938800000000001</v>
      </c>
      <c r="D200">
        <v>31.6997</v>
      </c>
      <c r="E200">
        <v>689.15599999999995</v>
      </c>
      <c r="F200">
        <v>603.66499999999996</v>
      </c>
      <c r="G200">
        <f t="shared" si="15"/>
        <v>0.93738100021916226</v>
      </c>
      <c r="H200">
        <f t="shared" si="16"/>
        <v>0.71915929037920301</v>
      </c>
    </row>
    <row r="201" spans="1:8" x14ac:dyDescent="0.2">
      <c r="A201">
        <v>30268.7</v>
      </c>
      <c r="B201">
        <v>11975.9</v>
      </c>
      <c r="C201">
        <v>26.1097</v>
      </c>
      <c r="D201">
        <v>274.18</v>
      </c>
      <c r="E201">
        <v>634.16999999999996</v>
      </c>
      <c r="F201">
        <v>1568.19</v>
      </c>
      <c r="G201">
        <f t="shared" si="15"/>
        <v>0.94578381822635016</v>
      </c>
      <c r="H201">
        <f t="shared" si="16"/>
        <v>4.5896710635731017E-2</v>
      </c>
    </row>
    <row r="202" spans="1:8" x14ac:dyDescent="0.2">
      <c r="A202">
        <v>40421.699999999997</v>
      </c>
      <c r="B202">
        <v>16622</v>
      </c>
      <c r="C202">
        <v>27.770700000000001</v>
      </c>
      <c r="D202">
        <v>26.371600000000001</v>
      </c>
      <c r="E202">
        <v>730.28300000000002</v>
      </c>
      <c r="F202">
        <v>466.22399999999999</v>
      </c>
      <c r="G202">
        <f t="shared" si="15"/>
        <v>0.95244891140946319</v>
      </c>
      <c r="H202">
        <f t="shared" si="16"/>
        <v>0.72071703348585958</v>
      </c>
    </row>
    <row r="203" spans="1:8" x14ac:dyDescent="0.2">
      <c r="A203">
        <v>41822.6</v>
      </c>
      <c r="B203">
        <v>28905.5</v>
      </c>
      <c r="C203">
        <v>32.743099999999998</v>
      </c>
      <c r="D203">
        <v>64.675299999999993</v>
      </c>
      <c r="E203">
        <v>744.93499999999995</v>
      </c>
      <c r="F203">
        <v>771.56100000000004</v>
      </c>
      <c r="G203">
        <f t="shared" si="15"/>
        <v>0.94707367743844628</v>
      </c>
      <c r="H203">
        <f t="shared" si="16"/>
        <v>0.45762602231065563</v>
      </c>
    </row>
    <row r="204" spans="1:8" x14ac:dyDescent="0.2">
      <c r="A204">
        <v>40286.9</v>
      </c>
      <c r="B204">
        <v>21360.9</v>
      </c>
      <c r="C204">
        <v>25.565899999999999</v>
      </c>
      <c r="D204">
        <v>25.788599999999999</v>
      </c>
      <c r="E204">
        <v>716.48699999999997</v>
      </c>
      <c r="F204">
        <v>521.54499999999996</v>
      </c>
      <c r="G204">
        <f t="shared" si="15"/>
        <v>0.98618119714662622</v>
      </c>
      <c r="H204">
        <f t="shared" si="16"/>
        <v>0.74012783058866627</v>
      </c>
    </row>
    <row r="205" spans="1:8" x14ac:dyDescent="0.2">
      <c r="A205">
        <v>40344.199999999997</v>
      </c>
      <c r="B205">
        <v>24894.400000000001</v>
      </c>
      <c r="C205">
        <v>74.153400000000005</v>
      </c>
      <c r="D205">
        <v>25.367699999999999</v>
      </c>
      <c r="E205">
        <v>1015.06</v>
      </c>
      <c r="F205">
        <v>567.39200000000005</v>
      </c>
      <c r="G205">
        <f t="shared" si="15"/>
        <v>0.4920476671938307</v>
      </c>
      <c r="H205">
        <f t="shared" si="16"/>
        <v>0.72879604605297388</v>
      </c>
    </row>
    <row r="206" spans="1:8" x14ac:dyDescent="0.2">
      <c r="A206">
        <v>42832.5</v>
      </c>
      <c r="B206">
        <v>20669</v>
      </c>
      <c r="C206">
        <v>27.520099999999999</v>
      </c>
      <c r="D206">
        <v>30.849299999999999</v>
      </c>
      <c r="E206">
        <v>740.29399999999998</v>
      </c>
      <c r="F206">
        <v>517.69000000000005</v>
      </c>
      <c r="G206">
        <f t="shared" si="15"/>
        <v>0.98214240322324475</v>
      </c>
      <c r="H206">
        <f t="shared" si="16"/>
        <v>0.72685983954039202</v>
      </c>
    </row>
    <row r="207" spans="1:8" x14ac:dyDescent="0.2">
      <c r="A207">
        <v>40819.599999999999</v>
      </c>
      <c r="B207">
        <v>24001.200000000001</v>
      </c>
      <c r="C207">
        <v>29.660299999999999</v>
      </c>
      <c r="D207">
        <v>30.219100000000001</v>
      </c>
      <c r="E207">
        <v>742.625</v>
      </c>
      <c r="F207">
        <v>563.54600000000005</v>
      </c>
      <c r="G207">
        <f t="shared" si="15"/>
        <v>0.93012027443354572</v>
      </c>
      <c r="H207">
        <f t="shared" si="16"/>
        <v>0.71227052587015438</v>
      </c>
    </row>
    <row r="208" spans="1:8" x14ac:dyDescent="0.2">
      <c r="A208">
        <v>34430.800000000003</v>
      </c>
      <c r="B208">
        <v>21320.2</v>
      </c>
      <c r="C208">
        <v>27.266300000000001</v>
      </c>
      <c r="D208">
        <v>23.8721</v>
      </c>
      <c r="E208">
        <v>671.87599999999998</v>
      </c>
      <c r="F208">
        <v>523.19200000000001</v>
      </c>
      <c r="G208">
        <f t="shared" si="15"/>
        <v>0.95846962661357349</v>
      </c>
      <c r="H208">
        <f t="shared" si="16"/>
        <v>0.73407400583614801</v>
      </c>
    </row>
    <row r="209" spans="1:8" x14ac:dyDescent="0.2">
      <c r="A209">
        <v>37174.5</v>
      </c>
      <c r="B209">
        <v>25040.7</v>
      </c>
      <c r="C209">
        <v>33.5274</v>
      </c>
      <c r="D209">
        <v>34.670299999999997</v>
      </c>
      <c r="E209">
        <v>697.899</v>
      </c>
      <c r="F209">
        <v>592.73299999999995</v>
      </c>
      <c r="G209">
        <f t="shared" si="15"/>
        <v>0.95911234521950051</v>
      </c>
      <c r="H209">
        <f t="shared" si="16"/>
        <v>0.67173660015198922</v>
      </c>
    </row>
    <row r="210" spans="1:8" x14ac:dyDescent="0.2">
      <c r="A210">
        <v>37271.9</v>
      </c>
      <c r="B210">
        <v>22928.1</v>
      </c>
      <c r="C210">
        <v>30.342199999999998</v>
      </c>
      <c r="D210">
        <v>31.019300000000001</v>
      </c>
      <c r="E210">
        <v>692.84799999999996</v>
      </c>
      <c r="F210">
        <v>546.81899999999996</v>
      </c>
      <c r="G210">
        <f t="shared" si="15"/>
        <v>0.97569727961699371</v>
      </c>
      <c r="H210">
        <f t="shared" si="16"/>
        <v>0.72268931737837638</v>
      </c>
    </row>
    <row r="211" spans="1:8" x14ac:dyDescent="0.2">
      <c r="A211">
        <v>44185.4</v>
      </c>
      <c r="B211">
        <v>34558.1</v>
      </c>
      <c r="C211">
        <v>41.2879</v>
      </c>
      <c r="D211">
        <v>17.928599999999999</v>
      </c>
      <c r="E211">
        <v>858.08399999999995</v>
      </c>
      <c r="F211">
        <v>677.13599999999997</v>
      </c>
      <c r="G211">
        <f t="shared" si="15"/>
        <v>0.75409954697319448</v>
      </c>
      <c r="H211">
        <f t="shared" si="16"/>
        <v>0.71034415318413324</v>
      </c>
    </row>
    <row r="212" spans="1:8" x14ac:dyDescent="0.2">
      <c r="A212">
        <v>48468.1</v>
      </c>
      <c r="B212">
        <v>44351.9</v>
      </c>
      <c r="C212">
        <v>121.123</v>
      </c>
      <c r="D212">
        <v>23.4984</v>
      </c>
      <c r="E212">
        <v>1177.93</v>
      </c>
      <c r="F212">
        <v>758.68799999999999</v>
      </c>
      <c r="G212">
        <f t="shared" si="15"/>
        <v>0.43896159681284386</v>
      </c>
      <c r="H212">
        <f t="shared" si="16"/>
        <v>0.72620052746185038</v>
      </c>
    </row>
    <row r="213" spans="1:8" x14ac:dyDescent="0.2">
      <c r="A213">
        <v>41529.599999999999</v>
      </c>
      <c r="B213">
        <v>24043.9</v>
      </c>
      <c r="C213">
        <v>26.6539</v>
      </c>
      <c r="D213">
        <v>27.931899999999999</v>
      </c>
      <c r="E213">
        <v>735.97299999999996</v>
      </c>
      <c r="F213">
        <v>577.51599999999996</v>
      </c>
      <c r="G213">
        <f t="shared" si="15"/>
        <v>0.96348172438281943</v>
      </c>
      <c r="H213">
        <f t="shared" si="16"/>
        <v>0.67943455715881929</v>
      </c>
    </row>
    <row r="214" spans="1:8" x14ac:dyDescent="0.2">
      <c r="A214">
        <v>41501.9</v>
      </c>
      <c r="B214">
        <v>28126.3</v>
      </c>
      <c r="C214">
        <v>23.212199999999999</v>
      </c>
      <c r="D214">
        <v>221.309</v>
      </c>
      <c r="E214">
        <v>724.41700000000003</v>
      </c>
      <c r="F214">
        <v>913.95799999999997</v>
      </c>
      <c r="G214">
        <f t="shared" si="15"/>
        <v>0.99380278618152351</v>
      </c>
      <c r="H214">
        <f t="shared" si="16"/>
        <v>0.31734443584552813</v>
      </c>
    </row>
    <row r="215" spans="1:8" x14ac:dyDescent="0.2">
      <c r="A215">
        <v>38324.9</v>
      </c>
      <c r="B215">
        <v>32658.9</v>
      </c>
      <c r="C215">
        <v>22.728400000000001</v>
      </c>
      <c r="D215">
        <v>34.797899999999998</v>
      </c>
      <c r="E215">
        <v>700.298</v>
      </c>
      <c r="F215">
        <v>666.90899999999999</v>
      </c>
      <c r="G215">
        <f t="shared" si="15"/>
        <v>0.98203000048898748</v>
      </c>
      <c r="H215">
        <f t="shared" si="16"/>
        <v>0.69205268340093928</v>
      </c>
    </row>
    <row r="216" spans="1:8" x14ac:dyDescent="0.2">
      <c r="A216">
        <v>36364.699999999997</v>
      </c>
      <c r="B216">
        <v>39897.5</v>
      </c>
      <c r="C216">
        <v>21.054600000000001</v>
      </c>
      <c r="D216">
        <v>24.421099999999999</v>
      </c>
      <c r="E216">
        <v>683.05399999999997</v>
      </c>
      <c r="F216">
        <v>714.53599999999994</v>
      </c>
      <c r="G216">
        <f t="shared" si="15"/>
        <v>0.97944359022174876</v>
      </c>
      <c r="H216">
        <f t="shared" si="16"/>
        <v>0.73649230747128069</v>
      </c>
    </row>
    <row r="217" spans="1:8" x14ac:dyDescent="0.2">
      <c r="A217">
        <v>37165</v>
      </c>
      <c r="B217">
        <v>736.53499999999997</v>
      </c>
      <c r="C217">
        <v>39.030900000000003</v>
      </c>
      <c r="D217">
        <v>62.262799999999999</v>
      </c>
      <c r="E217">
        <v>747.64099999999996</v>
      </c>
      <c r="F217">
        <v>119.601</v>
      </c>
      <c r="G217">
        <f t="shared" si="15"/>
        <v>0.83552108655887802</v>
      </c>
      <c r="H217">
        <f t="shared" si="16"/>
        <v>0.48528238581769423</v>
      </c>
    </row>
    <row r="218" spans="1:8" x14ac:dyDescent="0.2">
      <c r="A218">
        <v>36972.6</v>
      </c>
      <c r="B218">
        <v>26028.7</v>
      </c>
      <c r="C218">
        <v>21.819199999999999</v>
      </c>
      <c r="D218">
        <v>57.395899999999997</v>
      </c>
      <c r="E218">
        <v>686.18499999999995</v>
      </c>
      <c r="F218">
        <v>720.59500000000003</v>
      </c>
      <c r="G218">
        <f t="shared" si="15"/>
        <v>0.9867498047774298</v>
      </c>
      <c r="H218">
        <f t="shared" si="16"/>
        <v>0.47243356975913542</v>
      </c>
    </row>
    <row r="219" spans="1:8" x14ac:dyDescent="0.2">
      <c r="A219">
        <v>35082.699999999997</v>
      </c>
      <c r="B219">
        <v>25052</v>
      </c>
      <c r="C219">
        <v>24.294699999999999</v>
      </c>
      <c r="D219">
        <v>42.921999999999997</v>
      </c>
      <c r="E219">
        <v>668.04200000000003</v>
      </c>
      <c r="F219">
        <v>634.68299999999999</v>
      </c>
      <c r="G219">
        <f t="shared" si="15"/>
        <v>0.98785902480327548</v>
      </c>
      <c r="H219">
        <f t="shared" si="16"/>
        <v>0.58613739771736884</v>
      </c>
    </row>
    <row r="220" spans="1:8" x14ac:dyDescent="0.2">
      <c r="A220">
        <v>41125</v>
      </c>
      <c r="B220">
        <v>41764.699999999997</v>
      </c>
      <c r="C220">
        <v>21.586200000000002</v>
      </c>
      <c r="D220">
        <v>28.450800000000001</v>
      </c>
      <c r="E220">
        <v>726.149</v>
      </c>
      <c r="F220">
        <v>739.81600000000003</v>
      </c>
      <c r="G220">
        <f t="shared" si="15"/>
        <v>0.98008540272070088</v>
      </c>
      <c r="H220">
        <f t="shared" si="16"/>
        <v>0.71917186295185609</v>
      </c>
    </row>
    <row r="221" spans="1:8" x14ac:dyDescent="0.2">
      <c r="A221">
        <v>31708.400000000001</v>
      </c>
      <c r="B221">
        <v>26292.6</v>
      </c>
      <c r="C221">
        <v>19.333500000000001</v>
      </c>
      <c r="D221">
        <v>29.784400000000002</v>
      </c>
      <c r="E221">
        <v>635.25199999999995</v>
      </c>
      <c r="F221">
        <v>587.11900000000003</v>
      </c>
      <c r="G221">
        <f t="shared" si="15"/>
        <v>0.98739686335966281</v>
      </c>
      <c r="H221">
        <f t="shared" si="16"/>
        <v>0.71887275606564704</v>
      </c>
    </row>
    <row r="222" spans="1:8" x14ac:dyDescent="0.2">
      <c r="A222">
        <v>37998.6</v>
      </c>
      <c r="B222">
        <v>22052.5</v>
      </c>
      <c r="C222">
        <v>20.6982</v>
      </c>
      <c r="D222">
        <v>20.197700000000001</v>
      </c>
      <c r="E222">
        <v>693.93200000000002</v>
      </c>
      <c r="F222">
        <v>534.97699999999998</v>
      </c>
      <c r="G222">
        <f t="shared" si="15"/>
        <v>0.9916154007149619</v>
      </c>
      <c r="H222">
        <f t="shared" si="16"/>
        <v>0.7262035528352645</v>
      </c>
    </row>
    <row r="223" spans="1:8" x14ac:dyDescent="0.2">
      <c r="A223">
        <v>44424.9</v>
      </c>
      <c r="B223">
        <v>21740.9</v>
      </c>
      <c r="C223">
        <v>20.6449</v>
      </c>
      <c r="D223">
        <v>26.1752</v>
      </c>
      <c r="E223">
        <v>752.596</v>
      </c>
      <c r="F223">
        <v>548.52200000000005</v>
      </c>
      <c r="G223">
        <f t="shared" si="15"/>
        <v>0.98562598476960106</v>
      </c>
      <c r="H223">
        <f t="shared" si="16"/>
        <v>0.68102048768103396</v>
      </c>
    </row>
    <row r="224" spans="1:8" x14ac:dyDescent="0.2">
      <c r="A224">
        <v>38072.1</v>
      </c>
      <c r="B224">
        <v>26661.5</v>
      </c>
      <c r="C224">
        <v>30.020299999999999</v>
      </c>
      <c r="D224">
        <v>40.427100000000003</v>
      </c>
      <c r="E224">
        <v>705.10699999999997</v>
      </c>
      <c r="F224">
        <v>598.24300000000005</v>
      </c>
      <c r="G224">
        <f t="shared" si="15"/>
        <v>0.96229067500547449</v>
      </c>
      <c r="H224">
        <f t="shared" si="16"/>
        <v>0.70210180382084564</v>
      </c>
    </row>
    <row r="225" spans="1:8" x14ac:dyDescent="0.2">
      <c r="A225">
        <v>16842.5</v>
      </c>
      <c r="B225">
        <v>21285.9</v>
      </c>
      <c r="C225">
        <v>299.60700000000003</v>
      </c>
      <c r="D225">
        <v>24.8551</v>
      </c>
      <c r="E225">
        <v>867.88499999999999</v>
      </c>
      <c r="F225">
        <v>522.84299999999996</v>
      </c>
      <c r="G225">
        <f t="shared" si="15"/>
        <v>0.28099053326408641</v>
      </c>
      <c r="H225">
        <f t="shared" si="16"/>
        <v>0.7338717706119211</v>
      </c>
    </row>
    <row r="226" spans="1:8" x14ac:dyDescent="0.2">
      <c r="A226">
        <v>17527.099999999999</v>
      </c>
      <c r="B226">
        <v>20598.400000000001</v>
      </c>
      <c r="C226">
        <v>284.39299999999997</v>
      </c>
      <c r="D226">
        <v>26.551400000000001</v>
      </c>
      <c r="E226">
        <v>1378.48</v>
      </c>
      <c r="F226">
        <v>519.98800000000006</v>
      </c>
      <c r="G226">
        <f t="shared" si="15"/>
        <v>0.11590939069248941</v>
      </c>
      <c r="H226">
        <f t="shared" si="16"/>
        <v>0.71798869365202045</v>
      </c>
    </row>
    <row r="227" spans="1:8" x14ac:dyDescent="0.2">
      <c r="A227">
        <v>39714.800000000003</v>
      </c>
      <c r="B227">
        <v>21668.3</v>
      </c>
      <c r="C227">
        <v>27.653099999999998</v>
      </c>
      <c r="D227">
        <v>31.885200000000001</v>
      </c>
      <c r="E227">
        <v>714.68299999999999</v>
      </c>
      <c r="F227">
        <v>527.21400000000006</v>
      </c>
      <c r="G227">
        <f t="shared" si="15"/>
        <v>0.97709091109006352</v>
      </c>
      <c r="H227">
        <f t="shared" si="16"/>
        <v>0.73471977967424607</v>
      </c>
    </row>
    <row r="228" spans="1:8" x14ac:dyDescent="0.2">
      <c r="A228">
        <v>43710.400000000001</v>
      </c>
      <c r="B228">
        <v>24802.1</v>
      </c>
      <c r="C228">
        <v>41.533799999999999</v>
      </c>
      <c r="D228">
        <v>35.187899999999999</v>
      </c>
      <c r="E228">
        <v>757.67899999999997</v>
      </c>
      <c r="F228">
        <v>583.52700000000004</v>
      </c>
      <c r="G228">
        <f t="shared" si="15"/>
        <v>0.95680575127811296</v>
      </c>
      <c r="H228">
        <f t="shared" si="16"/>
        <v>0.68649488100524947</v>
      </c>
    </row>
    <row r="229" spans="1:8" x14ac:dyDescent="0.2">
      <c r="A229">
        <v>41615.300000000003</v>
      </c>
      <c r="B229">
        <v>18987.8</v>
      </c>
      <c r="C229">
        <v>34.5899</v>
      </c>
      <c r="D229">
        <v>32.712499999999999</v>
      </c>
      <c r="E229">
        <v>778.89599999999996</v>
      </c>
      <c r="F229">
        <v>497.452</v>
      </c>
      <c r="G229">
        <f t="shared" si="15"/>
        <v>0.8619926840527744</v>
      </c>
      <c r="H229">
        <f t="shared" si="16"/>
        <v>0.72317440448216652</v>
      </c>
    </row>
    <row r="230" spans="1:8" x14ac:dyDescent="0.2">
      <c r="A230">
        <v>13805.7</v>
      </c>
      <c r="B230">
        <v>38436.6</v>
      </c>
      <c r="C230">
        <v>183.05199999999999</v>
      </c>
      <c r="D230">
        <v>44.798900000000003</v>
      </c>
      <c r="E230">
        <v>1293.29</v>
      </c>
      <c r="F230">
        <v>755.82500000000005</v>
      </c>
      <c r="G230">
        <f t="shared" si="15"/>
        <v>0.10372324373760229</v>
      </c>
      <c r="H230">
        <f t="shared" si="16"/>
        <v>0.63412258194965798</v>
      </c>
    </row>
    <row r="231" spans="1:8" x14ac:dyDescent="0.2">
      <c r="A231">
        <v>38064.5</v>
      </c>
      <c r="B231">
        <v>40917.699999999997</v>
      </c>
      <c r="C231">
        <v>24.904199999999999</v>
      </c>
      <c r="D231">
        <v>43.740400000000001</v>
      </c>
      <c r="E231">
        <v>711.54399999999998</v>
      </c>
      <c r="F231">
        <v>753.55</v>
      </c>
      <c r="G231">
        <f t="shared" si="15"/>
        <v>0.94477002294944334</v>
      </c>
      <c r="H231">
        <f t="shared" si="16"/>
        <v>0.6791376790320961</v>
      </c>
    </row>
    <row r="232" spans="1:8" x14ac:dyDescent="0.2">
      <c r="A232">
        <v>39660.199999999997</v>
      </c>
      <c r="B232">
        <v>28361</v>
      </c>
      <c r="C232">
        <v>26.4346</v>
      </c>
      <c r="D232">
        <v>27.952100000000002</v>
      </c>
      <c r="E232">
        <v>722.46799999999996</v>
      </c>
      <c r="F232">
        <v>610.53800000000001</v>
      </c>
      <c r="G232">
        <f t="shared" si="15"/>
        <v>0.95483243993012334</v>
      </c>
      <c r="H232">
        <f t="shared" si="16"/>
        <v>0.71707882976385728</v>
      </c>
    </row>
    <row r="233" spans="1:8" x14ac:dyDescent="0.2">
      <c r="A233">
        <v>41192.699999999997</v>
      </c>
      <c r="B233">
        <v>40794.199999999997</v>
      </c>
      <c r="C233">
        <v>27.282499999999999</v>
      </c>
      <c r="D233">
        <v>43.540100000000002</v>
      </c>
      <c r="E233">
        <v>739.29499999999996</v>
      </c>
      <c r="F233">
        <v>757.83100000000002</v>
      </c>
      <c r="G233">
        <f t="shared" si="15"/>
        <v>0.94709647059678126</v>
      </c>
      <c r="H233">
        <f t="shared" si="16"/>
        <v>0.66945971461888532</v>
      </c>
    </row>
    <row r="234" spans="1:8" x14ac:dyDescent="0.2">
      <c r="A234">
        <v>42293.3</v>
      </c>
      <c r="B234">
        <v>25560.9</v>
      </c>
      <c r="C234">
        <v>52.907400000000003</v>
      </c>
      <c r="D234">
        <v>26.4724</v>
      </c>
      <c r="E234">
        <v>956.13</v>
      </c>
      <c r="F234">
        <v>591.88199999999995</v>
      </c>
      <c r="G234">
        <f t="shared" si="15"/>
        <v>0.58136272129007527</v>
      </c>
      <c r="H234">
        <f t="shared" si="16"/>
        <v>0.68766455016090355</v>
      </c>
    </row>
    <row r="235" spans="1:8" x14ac:dyDescent="0.2">
      <c r="A235">
        <v>29248.5</v>
      </c>
      <c r="B235">
        <v>18565</v>
      </c>
      <c r="C235">
        <v>28.861000000000001</v>
      </c>
      <c r="D235">
        <v>28.7134</v>
      </c>
      <c r="E235">
        <v>618.06700000000001</v>
      </c>
      <c r="F235">
        <v>488.06599999999997</v>
      </c>
      <c r="G235">
        <f t="shared" si="15"/>
        <v>0.96214822509740128</v>
      </c>
      <c r="H235">
        <f t="shared" si="16"/>
        <v>0.73452842174305966</v>
      </c>
    </row>
    <row r="236" spans="1:8" x14ac:dyDescent="0.2">
      <c r="A236">
        <v>29799.4</v>
      </c>
      <c r="B236">
        <v>29383</v>
      </c>
      <c r="C236">
        <v>24.014900000000001</v>
      </c>
      <c r="D236">
        <v>23.979900000000001</v>
      </c>
      <c r="E236">
        <v>620.12099999999998</v>
      </c>
      <c r="F236">
        <v>627.91399999999999</v>
      </c>
      <c r="G236">
        <f t="shared" si="15"/>
        <v>0.97378737478945276</v>
      </c>
      <c r="H236">
        <f t="shared" si="16"/>
        <v>0.70237098619545679</v>
      </c>
    </row>
    <row r="237" spans="1:8" x14ac:dyDescent="0.2">
      <c r="A237">
        <v>38118.199999999997</v>
      </c>
      <c r="B237">
        <v>26363.599999999999</v>
      </c>
      <c r="C237">
        <v>19.1938</v>
      </c>
      <c r="D237">
        <v>27.734000000000002</v>
      </c>
      <c r="E237">
        <v>697.30799999999999</v>
      </c>
      <c r="F237">
        <v>585.11800000000005</v>
      </c>
      <c r="G237">
        <f t="shared" si="15"/>
        <v>0.98512782533212007</v>
      </c>
      <c r="H237">
        <f t="shared" si="16"/>
        <v>0.72575252793517409</v>
      </c>
    </row>
    <row r="238" spans="1:8" x14ac:dyDescent="0.2">
      <c r="A238">
        <v>31447.4</v>
      </c>
      <c r="B238">
        <v>39056.300000000003</v>
      </c>
      <c r="C238">
        <v>24.756900000000002</v>
      </c>
      <c r="D238">
        <v>23.394200000000001</v>
      </c>
      <c r="E238">
        <v>639.89300000000003</v>
      </c>
      <c r="F238">
        <v>711.17600000000004</v>
      </c>
      <c r="G238">
        <f t="shared" si="15"/>
        <v>0.96511601734404828</v>
      </c>
      <c r="H238">
        <f t="shared" si="16"/>
        <v>0.72779266515337848</v>
      </c>
    </row>
    <row r="239" spans="1:8" x14ac:dyDescent="0.2">
      <c r="A239">
        <v>41143.800000000003</v>
      </c>
      <c r="B239">
        <v>36941.4</v>
      </c>
      <c r="C239">
        <v>26.080300000000001</v>
      </c>
      <c r="D239">
        <v>24.884399999999999</v>
      </c>
      <c r="E239">
        <v>722.70299999999997</v>
      </c>
      <c r="F239">
        <v>686.33799999999997</v>
      </c>
      <c r="G239">
        <f t="shared" si="15"/>
        <v>0.98990651462022994</v>
      </c>
      <c r="H239">
        <f t="shared" si="16"/>
        <v>0.73910820100175711</v>
      </c>
    </row>
    <row r="240" spans="1:8" x14ac:dyDescent="0.2">
      <c r="A240">
        <v>32830.400000000001</v>
      </c>
      <c r="B240">
        <v>25074.400000000001</v>
      </c>
      <c r="C240">
        <v>29.791</v>
      </c>
      <c r="D240">
        <v>25.692299999999999</v>
      </c>
      <c r="E240">
        <v>661.54600000000005</v>
      </c>
      <c r="F240">
        <v>567.80399999999997</v>
      </c>
      <c r="G240">
        <f t="shared" si="15"/>
        <v>0.94268278377477199</v>
      </c>
      <c r="H240">
        <f t="shared" si="16"/>
        <v>0.73300074310187568</v>
      </c>
    </row>
    <row r="241" spans="1:8" x14ac:dyDescent="0.2">
      <c r="A241">
        <v>31355.8</v>
      </c>
      <c r="B241">
        <v>39372.300000000003</v>
      </c>
      <c r="C241">
        <v>23.141100000000002</v>
      </c>
      <c r="D241">
        <v>35.89</v>
      </c>
      <c r="E241">
        <v>630.75199999999995</v>
      </c>
      <c r="F241">
        <v>719.96600000000001</v>
      </c>
      <c r="G241">
        <f t="shared" si="15"/>
        <v>0.99039881111615513</v>
      </c>
      <c r="H241">
        <f t="shared" si="16"/>
        <v>0.71587561788908105</v>
      </c>
    </row>
    <row r="242" spans="1:8" x14ac:dyDescent="0.2">
      <c r="A242">
        <v>31872.3</v>
      </c>
      <c r="B242">
        <v>18455</v>
      </c>
      <c r="C242">
        <v>25.075900000000001</v>
      </c>
      <c r="D242">
        <v>27.3977</v>
      </c>
      <c r="E242">
        <v>640.15599999999995</v>
      </c>
      <c r="F242">
        <v>485.67500000000001</v>
      </c>
      <c r="G242">
        <f t="shared" si="15"/>
        <v>0.97735257392867625</v>
      </c>
      <c r="H242">
        <f t="shared" si="16"/>
        <v>0.73738332510409421</v>
      </c>
    </row>
    <row r="243" spans="1:8" x14ac:dyDescent="0.2">
      <c r="A243">
        <v>39265.1</v>
      </c>
      <c r="B243">
        <v>20684.3</v>
      </c>
      <c r="C243">
        <v>44.752200000000002</v>
      </c>
      <c r="D243">
        <v>33.131700000000002</v>
      </c>
      <c r="E243">
        <v>729.75699999999995</v>
      </c>
      <c r="F243">
        <v>538.05600000000004</v>
      </c>
      <c r="G243">
        <f t="shared" si="15"/>
        <v>0.92653038426541023</v>
      </c>
      <c r="H243">
        <f t="shared" si="16"/>
        <v>0.67337444600226415</v>
      </c>
    </row>
    <row r="244" spans="1:8" x14ac:dyDescent="0.2">
      <c r="A244">
        <v>34496.5</v>
      </c>
      <c r="B244">
        <v>20896.900000000001</v>
      </c>
      <c r="C244">
        <v>23.526499999999999</v>
      </c>
      <c r="D244">
        <v>26.044799999999999</v>
      </c>
      <c r="E244">
        <v>669.97199999999998</v>
      </c>
      <c r="F244">
        <v>520.58399999999995</v>
      </c>
      <c r="G244">
        <f t="shared" si="15"/>
        <v>0.96576447419450306</v>
      </c>
      <c r="H244">
        <f t="shared" si="16"/>
        <v>0.72672649317925964</v>
      </c>
    </row>
    <row r="245" spans="1:8" x14ac:dyDescent="0.2">
      <c r="A245">
        <v>32296</v>
      </c>
      <c r="B245">
        <v>20017.599999999999</v>
      </c>
      <c r="C245">
        <v>28.349499999999999</v>
      </c>
      <c r="D245">
        <v>27.9861</v>
      </c>
      <c r="E245">
        <v>643.10599999999999</v>
      </c>
      <c r="F245">
        <v>511.49299999999999</v>
      </c>
      <c r="G245">
        <f t="shared" si="15"/>
        <v>0.9812803690891525</v>
      </c>
      <c r="H245">
        <f t="shared" si="16"/>
        <v>0.72111308834247712</v>
      </c>
    </row>
    <row r="246" spans="1:8" x14ac:dyDescent="0.2">
      <c r="A246">
        <v>36395.699999999997</v>
      </c>
      <c r="B246">
        <v>29559.3</v>
      </c>
      <c r="C246">
        <v>25.7866</v>
      </c>
      <c r="D246">
        <v>31.813199999999998</v>
      </c>
      <c r="E246">
        <v>684.80499999999995</v>
      </c>
      <c r="F246">
        <v>631.41</v>
      </c>
      <c r="G246">
        <f t="shared" si="15"/>
        <v>0.97527193876226737</v>
      </c>
      <c r="H246">
        <f t="shared" si="16"/>
        <v>0.69878245829224661</v>
      </c>
    </row>
    <row r="247" spans="1:8" x14ac:dyDescent="0.2">
      <c r="A247">
        <v>42134.5</v>
      </c>
      <c r="B247">
        <v>23623.9</v>
      </c>
      <c r="C247">
        <v>30.14</v>
      </c>
      <c r="D247">
        <v>28.240200000000002</v>
      </c>
      <c r="E247">
        <v>748.99099999999999</v>
      </c>
      <c r="F247">
        <v>552.83500000000004</v>
      </c>
      <c r="G247">
        <f t="shared" si="15"/>
        <v>0.94383079543589721</v>
      </c>
      <c r="H247">
        <f t="shared" si="16"/>
        <v>0.72850291739910922</v>
      </c>
    </row>
    <row r="248" spans="1:8" x14ac:dyDescent="0.2">
      <c r="A248">
        <v>39288.400000000001</v>
      </c>
      <c r="B248">
        <v>39915.699999999997</v>
      </c>
      <c r="C248">
        <v>27.107600000000001</v>
      </c>
      <c r="D248">
        <v>41.068800000000003</v>
      </c>
      <c r="E248">
        <v>714.74599999999998</v>
      </c>
      <c r="F248">
        <v>755.02200000000005</v>
      </c>
      <c r="G248">
        <f t="shared" si="15"/>
        <v>0.96642993310990388</v>
      </c>
      <c r="H248">
        <f t="shared" si="16"/>
        <v>0.65992608889947357</v>
      </c>
    </row>
    <row r="249" spans="1:8" x14ac:dyDescent="0.2">
      <c r="A249">
        <v>31939.9</v>
      </c>
      <c r="B249">
        <v>28574.7</v>
      </c>
      <c r="C249">
        <v>23.813700000000001</v>
      </c>
      <c r="D249">
        <v>33.933100000000003</v>
      </c>
      <c r="E249">
        <v>654.75599999999997</v>
      </c>
      <c r="F249">
        <v>653.13800000000003</v>
      </c>
      <c r="G249">
        <f t="shared" si="15"/>
        <v>0.93623328158158647</v>
      </c>
      <c r="H249">
        <f t="shared" si="16"/>
        <v>0.63130980723295704</v>
      </c>
    </row>
    <row r="250" spans="1:8" x14ac:dyDescent="0.2">
      <c r="A250">
        <v>37255.1</v>
      </c>
      <c r="B250">
        <v>40485.599999999999</v>
      </c>
      <c r="C250">
        <v>24.455400000000001</v>
      </c>
      <c r="D250">
        <v>33.132800000000003</v>
      </c>
      <c r="E250">
        <v>698.45799999999997</v>
      </c>
      <c r="F250">
        <v>721.85199999999998</v>
      </c>
      <c r="G250">
        <f t="shared" si="15"/>
        <v>0.95965391321084137</v>
      </c>
      <c r="H250">
        <f t="shared" si="16"/>
        <v>0.73227635706647431</v>
      </c>
    </row>
    <row r="251" spans="1:8" x14ac:dyDescent="0.2">
      <c r="A251">
        <v>33933.199999999997</v>
      </c>
      <c r="B251">
        <v>26280.1</v>
      </c>
      <c r="C251">
        <v>23.278600000000001</v>
      </c>
      <c r="D251">
        <v>46.010599999999997</v>
      </c>
      <c r="E251">
        <v>674.28099999999995</v>
      </c>
      <c r="F251">
        <v>590.59900000000005</v>
      </c>
      <c r="G251">
        <f t="shared" si="15"/>
        <v>0.93789121845819323</v>
      </c>
      <c r="H251">
        <f t="shared" si="16"/>
        <v>0.71008830416964408</v>
      </c>
    </row>
    <row r="252" spans="1:8" x14ac:dyDescent="0.2">
      <c r="A252">
        <v>40169.4</v>
      </c>
      <c r="B252">
        <v>24173.9</v>
      </c>
      <c r="C252">
        <v>35.442599999999999</v>
      </c>
      <c r="D252">
        <v>45.9694</v>
      </c>
      <c r="E252">
        <v>750.76400000000001</v>
      </c>
      <c r="F252">
        <v>591.29999999999995</v>
      </c>
      <c r="G252">
        <f t="shared" si="15"/>
        <v>0.89556675403580954</v>
      </c>
      <c r="H252">
        <f t="shared" si="16"/>
        <v>0.65163098053004831</v>
      </c>
    </row>
    <row r="253" spans="1:8" x14ac:dyDescent="0.2">
      <c r="A253">
        <v>41601.300000000003</v>
      </c>
      <c r="B253">
        <v>28134.2</v>
      </c>
      <c r="C253">
        <v>24.8477</v>
      </c>
      <c r="D253">
        <v>27.9986</v>
      </c>
      <c r="E253">
        <v>747.07500000000005</v>
      </c>
      <c r="F253">
        <v>613.60699999999997</v>
      </c>
      <c r="G253">
        <f t="shared" si="15"/>
        <v>0.93667297981184272</v>
      </c>
      <c r="H253">
        <f t="shared" si="16"/>
        <v>0.70424653725687503</v>
      </c>
    </row>
    <row r="254" spans="1:8" x14ac:dyDescent="0.2">
      <c r="A254">
        <v>33713.699999999997</v>
      </c>
      <c r="B254">
        <v>22342.799999999999</v>
      </c>
      <c r="C254">
        <v>21.3904</v>
      </c>
      <c r="D254">
        <v>28.1877</v>
      </c>
      <c r="E254">
        <v>654.904</v>
      </c>
      <c r="F254">
        <v>543.101</v>
      </c>
      <c r="G254">
        <f t="shared" si="15"/>
        <v>0.98778091103311605</v>
      </c>
      <c r="H254">
        <f t="shared" si="16"/>
        <v>0.71391606305617383</v>
      </c>
    </row>
    <row r="255" spans="1:8" x14ac:dyDescent="0.2">
      <c r="A255">
        <v>38769</v>
      </c>
      <c r="B255">
        <v>19296</v>
      </c>
      <c r="C255">
        <v>39.864899999999999</v>
      </c>
      <c r="D255">
        <v>34.186799999999998</v>
      </c>
      <c r="E255">
        <v>715.06100000000004</v>
      </c>
      <c r="F255">
        <v>502.334</v>
      </c>
      <c r="G255">
        <f t="shared" si="15"/>
        <v>0.95281352314725742</v>
      </c>
      <c r="H255">
        <f t="shared" si="16"/>
        <v>0.72069731340614474</v>
      </c>
    </row>
    <row r="256" spans="1:8" x14ac:dyDescent="0.2">
      <c r="A256">
        <v>44204.1</v>
      </c>
      <c r="B256">
        <v>21725.3</v>
      </c>
      <c r="C256">
        <v>48.610799999999998</v>
      </c>
      <c r="D256">
        <v>26.602399999999999</v>
      </c>
      <c r="E256">
        <v>937.82</v>
      </c>
      <c r="F256">
        <v>527.70699999999999</v>
      </c>
      <c r="G256">
        <f t="shared" si="15"/>
        <v>0.63158683568366669</v>
      </c>
      <c r="H256">
        <f t="shared" si="16"/>
        <v>0.73527674854525471</v>
      </c>
    </row>
    <row r="257" spans="1:8" x14ac:dyDescent="0.2">
      <c r="A257">
        <v>49414.8</v>
      </c>
      <c r="B257">
        <v>21360.6</v>
      </c>
      <c r="C257">
        <v>65.415499999999994</v>
      </c>
      <c r="D257">
        <v>29.5092</v>
      </c>
      <c r="E257">
        <v>1160.76</v>
      </c>
      <c r="F257">
        <v>530.93200000000002</v>
      </c>
      <c r="G257">
        <f t="shared" si="15"/>
        <v>0.46087343036198902</v>
      </c>
      <c r="H257">
        <f t="shared" si="16"/>
        <v>0.71417789634241469</v>
      </c>
    </row>
    <row r="258" spans="1:8" x14ac:dyDescent="0.2">
      <c r="A258">
        <v>39483.199999999997</v>
      </c>
      <c r="B258">
        <v>20703.7</v>
      </c>
      <c r="C258">
        <v>34.603099999999998</v>
      </c>
      <c r="D258">
        <v>31.4697</v>
      </c>
      <c r="E258">
        <v>734.471</v>
      </c>
      <c r="F258">
        <v>523.32299999999998</v>
      </c>
      <c r="G258">
        <f t="shared" si="15"/>
        <v>0.91975580076813956</v>
      </c>
      <c r="H258">
        <f t="shared" si="16"/>
        <v>0.71249050630134281</v>
      </c>
    </row>
    <row r="259" spans="1:8" x14ac:dyDescent="0.2">
      <c r="A259">
        <v>42790.6</v>
      </c>
      <c r="B259">
        <v>1875.73</v>
      </c>
      <c r="C259">
        <v>27.585799999999999</v>
      </c>
      <c r="D259">
        <v>62.209200000000003</v>
      </c>
      <c r="E259">
        <v>759.32100000000003</v>
      </c>
      <c r="F259">
        <v>671.73199999999997</v>
      </c>
      <c r="G259">
        <f t="shared" ref="G259:G322" si="17" xml:space="preserve"> 3.14159*4*A259/(E259*E259)</f>
        <v>0.93262499626694284</v>
      </c>
      <c r="H259">
        <f t="shared" ref="H259:H322" si="18" xml:space="preserve"> 3*3.14159*B259/(F259*F259)</f>
        <v>3.9178608718571005E-2</v>
      </c>
    </row>
    <row r="260" spans="1:8" x14ac:dyDescent="0.2">
      <c r="A260">
        <v>43752.6</v>
      </c>
      <c r="B260">
        <v>19876</v>
      </c>
      <c r="C260">
        <v>25.753900000000002</v>
      </c>
      <c r="D260">
        <v>26.5472</v>
      </c>
      <c r="E260">
        <v>755.096</v>
      </c>
      <c r="F260">
        <v>506.12099999999998</v>
      </c>
      <c r="G260">
        <f t="shared" si="17"/>
        <v>0.96429302176683485</v>
      </c>
      <c r="H260">
        <f t="shared" si="18"/>
        <v>0.73129235576872009</v>
      </c>
    </row>
    <row r="261" spans="1:8" x14ac:dyDescent="0.2">
      <c r="A261">
        <v>29523.1</v>
      </c>
      <c r="B261">
        <v>19115</v>
      </c>
      <c r="C261">
        <v>440.55099999999999</v>
      </c>
      <c r="D261">
        <v>42.116399999999999</v>
      </c>
      <c r="E261">
        <v>1127.46</v>
      </c>
      <c r="F261">
        <v>512.52700000000004</v>
      </c>
      <c r="G261">
        <f t="shared" si="17"/>
        <v>0.29185636483056621</v>
      </c>
      <c r="H261">
        <f t="shared" si="18"/>
        <v>0.68582224074059928</v>
      </c>
    </row>
    <row r="262" spans="1:8" x14ac:dyDescent="0.2">
      <c r="A262">
        <v>35059.800000000003</v>
      </c>
      <c r="B262">
        <v>27902.3</v>
      </c>
      <c r="C262">
        <v>33.933399999999999</v>
      </c>
      <c r="D262">
        <v>27.810300000000002</v>
      </c>
      <c r="E262">
        <v>688.90300000000002</v>
      </c>
      <c r="F262">
        <v>611.53399999999999</v>
      </c>
      <c r="G262">
        <f t="shared" si="17"/>
        <v>0.9283308424605683</v>
      </c>
      <c r="H262">
        <f t="shared" si="18"/>
        <v>0.70318492005643374</v>
      </c>
    </row>
    <row r="263" spans="1:8" x14ac:dyDescent="0.2">
      <c r="A263">
        <v>41687.9</v>
      </c>
      <c r="B263">
        <v>22017.7</v>
      </c>
      <c r="C263">
        <v>47.645000000000003</v>
      </c>
      <c r="D263">
        <v>34.329500000000003</v>
      </c>
      <c r="E263">
        <v>821.54899999999998</v>
      </c>
      <c r="F263">
        <v>539.803</v>
      </c>
      <c r="G263">
        <f t="shared" si="17"/>
        <v>0.77616235117318866</v>
      </c>
      <c r="H263">
        <f t="shared" si="18"/>
        <v>0.71215105641252396</v>
      </c>
    </row>
    <row r="264" spans="1:8" x14ac:dyDescent="0.2">
      <c r="A264">
        <v>36567.5</v>
      </c>
      <c r="B264">
        <v>22420.9</v>
      </c>
      <c r="C264">
        <v>23.2607</v>
      </c>
      <c r="D264">
        <v>25.433599999999998</v>
      </c>
      <c r="E264">
        <v>693.24099999999999</v>
      </c>
      <c r="F264">
        <v>544.298</v>
      </c>
      <c r="G264">
        <f t="shared" si="17"/>
        <v>0.95617258393254223</v>
      </c>
      <c r="H264">
        <f t="shared" si="18"/>
        <v>0.71326403355551626</v>
      </c>
    </row>
    <row r="265" spans="1:8" x14ac:dyDescent="0.2">
      <c r="A265">
        <v>33377.199999999997</v>
      </c>
      <c r="B265">
        <v>29802</v>
      </c>
      <c r="C265">
        <v>35.161499999999997</v>
      </c>
      <c r="D265">
        <v>27.284500000000001</v>
      </c>
      <c r="E265">
        <v>674.97400000000005</v>
      </c>
      <c r="F265">
        <v>619.50300000000004</v>
      </c>
      <c r="G265">
        <f t="shared" si="17"/>
        <v>0.92063039670030822</v>
      </c>
      <c r="H265">
        <f t="shared" si="18"/>
        <v>0.73186224460860072</v>
      </c>
    </row>
    <row r="266" spans="1:8" x14ac:dyDescent="0.2">
      <c r="A266">
        <v>39415</v>
      </c>
      <c r="B266">
        <v>17692.5</v>
      </c>
      <c r="C266">
        <v>27.467600000000001</v>
      </c>
      <c r="D266">
        <v>29.1416</v>
      </c>
      <c r="E266">
        <v>717.63900000000001</v>
      </c>
      <c r="F266">
        <v>480.971</v>
      </c>
      <c r="G266">
        <f t="shared" si="17"/>
        <v>0.96174284360740836</v>
      </c>
      <c r="H266">
        <f t="shared" si="18"/>
        <v>0.72081228832870115</v>
      </c>
    </row>
    <row r="267" spans="1:8" x14ac:dyDescent="0.2">
      <c r="A267">
        <v>25054.3</v>
      </c>
      <c r="B267">
        <v>21200.400000000001</v>
      </c>
      <c r="C267">
        <v>177.64699999999999</v>
      </c>
      <c r="D267">
        <v>23.416799999999999</v>
      </c>
      <c r="E267">
        <v>1321.14</v>
      </c>
      <c r="F267">
        <v>521.28</v>
      </c>
      <c r="G267">
        <f t="shared" si="17"/>
        <v>0.18038236922901815</v>
      </c>
      <c r="H267">
        <f t="shared" si="18"/>
        <v>0.73531375554203182</v>
      </c>
    </row>
    <row r="268" spans="1:8" x14ac:dyDescent="0.2">
      <c r="A268">
        <v>40420.1</v>
      </c>
      <c r="B268">
        <v>20922.599999999999</v>
      </c>
      <c r="C268">
        <v>32.624400000000001</v>
      </c>
      <c r="D268">
        <v>26.6736</v>
      </c>
      <c r="E268">
        <v>748.27700000000004</v>
      </c>
      <c r="F268">
        <v>525.59500000000003</v>
      </c>
      <c r="G268">
        <f t="shared" si="17"/>
        <v>0.9071562311366429</v>
      </c>
      <c r="H268">
        <f t="shared" si="18"/>
        <v>0.71381219383777905</v>
      </c>
    </row>
    <row r="269" spans="1:8" x14ac:dyDescent="0.2">
      <c r="A269">
        <v>38239.300000000003</v>
      </c>
      <c r="B269">
        <v>19987.3</v>
      </c>
      <c r="C269">
        <v>25.246700000000001</v>
      </c>
      <c r="D269">
        <v>24.072600000000001</v>
      </c>
      <c r="E269">
        <v>697.875</v>
      </c>
      <c r="F269">
        <v>507.66399999999999</v>
      </c>
      <c r="G269">
        <f t="shared" si="17"/>
        <v>0.9866523373462126</v>
      </c>
      <c r="H269">
        <f t="shared" si="18"/>
        <v>0.7309238901068168</v>
      </c>
    </row>
    <row r="270" spans="1:8" x14ac:dyDescent="0.2">
      <c r="A270">
        <v>30033.599999999999</v>
      </c>
      <c r="B270">
        <v>24567.8</v>
      </c>
      <c r="C270">
        <v>22.685199999999998</v>
      </c>
      <c r="D270">
        <v>27.3659</v>
      </c>
      <c r="E270">
        <v>627.59699999999998</v>
      </c>
      <c r="F270">
        <v>563.23</v>
      </c>
      <c r="G270">
        <f t="shared" si="17"/>
        <v>0.95819780503933694</v>
      </c>
      <c r="H270">
        <f t="shared" si="18"/>
        <v>0.72990354064639129</v>
      </c>
    </row>
    <row r="271" spans="1:8" x14ac:dyDescent="0.2">
      <c r="A271">
        <v>36974</v>
      </c>
      <c r="B271">
        <v>30269.8</v>
      </c>
      <c r="C271">
        <v>29.656199999999998</v>
      </c>
      <c r="D271">
        <v>35.935200000000002</v>
      </c>
      <c r="E271">
        <v>690.80499999999995</v>
      </c>
      <c r="F271">
        <v>638.14800000000002</v>
      </c>
      <c r="G271">
        <f t="shared" si="17"/>
        <v>0.97363233677584693</v>
      </c>
      <c r="H271">
        <f t="shared" si="18"/>
        <v>0.70054733797213486</v>
      </c>
    </row>
    <row r="272" spans="1:8" x14ac:dyDescent="0.2">
      <c r="A272">
        <v>31771.1</v>
      </c>
      <c r="B272">
        <v>19130</v>
      </c>
      <c r="C272">
        <v>25.5594</v>
      </c>
      <c r="D272">
        <v>22.500699999999998</v>
      </c>
      <c r="E272">
        <v>637.14599999999996</v>
      </c>
      <c r="F272">
        <v>494.68299999999999</v>
      </c>
      <c r="G272">
        <f t="shared" si="17"/>
        <v>0.98347613725244964</v>
      </c>
      <c r="H272">
        <f t="shared" si="18"/>
        <v>0.73676970308608836</v>
      </c>
    </row>
    <row r="273" spans="1:8" x14ac:dyDescent="0.2">
      <c r="A273">
        <v>34390.199999999997</v>
      </c>
      <c r="B273">
        <v>21156.400000000001</v>
      </c>
      <c r="C273">
        <v>31.323499999999999</v>
      </c>
      <c r="D273">
        <v>30.558299999999999</v>
      </c>
      <c r="E273">
        <v>666.79899999999998</v>
      </c>
      <c r="F273">
        <v>521.51300000000003</v>
      </c>
      <c r="G273">
        <f t="shared" si="17"/>
        <v>0.97197326407822737</v>
      </c>
      <c r="H273">
        <f t="shared" si="18"/>
        <v>0.73313212905674507</v>
      </c>
    </row>
    <row r="274" spans="1:8" x14ac:dyDescent="0.2">
      <c r="A274">
        <v>38543.300000000003</v>
      </c>
      <c r="B274">
        <v>21635.5</v>
      </c>
      <c r="C274">
        <v>34.402700000000003</v>
      </c>
      <c r="D274">
        <v>28.724</v>
      </c>
      <c r="E274">
        <v>708.72699999999998</v>
      </c>
      <c r="F274">
        <v>526.93799999999999</v>
      </c>
      <c r="G274">
        <f t="shared" si="17"/>
        <v>0.96427395399677729</v>
      </c>
      <c r="H274">
        <f t="shared" si="18"/>
        <v>0.73437631120711988</v>
      </c>
    </row>
    <row r="275" spans="1:8" x14ac:dyDescent="0.2">
      <c r="A275">
        <v>43459.199999999997</v>
      </c>
      <c r="B275">
        <v>20781.599999999999</v>
      </c>
      <c r="C275">
        <v>33.710999999999999</v>
      </c>
      <c r="D275">
        <v>26.610099999999999</v>
      </c>
      <c r="E275">
        <v>775.04200000000003</v>
      </c>
      <c r="F275">
        <v>518.27499999999998</v>
      </c>
      <c r="G275">
        <f t="shared" si="17"/>
        <v>0.90916089828722024</v>
      </c>
      <c r="H275">
        <f t="shared" si="18"/>
        <v>0.72917072028687158</v>
      </c>
    </row>
    <row r="276" spans="1:8" x14ac:dyDescent="0.2">
      <c r="A276">
        <v>43873.3</v>
      </c>
      <c r="B276">
        <v>19745.8</v>
      </c>
      <c r="C276">
        <v>37.380200000000002</v>
      </c>
      <c r="D276">
        <v>25.928899999999999</v>
      </c>
      <c r="E276">
        <v>778.80899999999997</v>
      </c>
      <c r="F276">
        <v>505.00900000000001</v>
      </c>
      <c r="G276">
        <f t="shared" si="17"/>
        <v>0.90896649610024682</v>
      </c>
      <c r="H276">
        <f t="shared" si="18"/>
        <v>0.72970489320425302</v>
      </c>
    </row>
    <row r="277" spans="1:8" x14ac:dyDescent="0.2">
      <c r="A277">
        <v>34207</v>
      </c>
      <c r="B277">
        <v>19376</v>
      </c>
      <c r="C277">
        <v>16.834399999999999</v>
      </c>
      <c r="D277">
        <v>30.813500000000001</v>
      </c>
      <c r="E277">
        <v>658.77300000000002</v>
      </c>
      <c r="F277">
        <v>501.96499999999997</v>
      </c>
      <c r="G277">
        <f t="shared" si="17"/>
        <v>0.99049640241540349</v>
      </c>
      <c r="H277">
        <f t="shared" si="18"/>
        <v>0.72474964815962439</v>
      </c>
    </row>
    <row r="278" spans="1:8" x14ac:dyDescent="0.2">
      <c r="A278">
        <v>41343.300000000003</v>
      </c>
      <c r="B278">
        <v>19350.900000000001</v>
      </c>
      <c r="C278">
        <v>27.168299999999999</v>
      </c>
      <c r="D278">
        <v>28.9495</v>
      </c>
      <c r="E278">
        <v>736.69</v>
      </c>
      <c r="F278">
        <v>496.45400000000001</v>
      </c>
      <c r="G278">
        <f t="shared" si="17"/>
        <v>0.95729344837499919</v>
      </c>
      <c r="H278">
        <f t="shared" si="18"/>
        <v>0.7399696386706115</v>
      </c>
    </row>
    <row r="279" spans="1:8" x14ac:dyDescent="0.2">
      <c r="A279">
        <v>14570.6</v>
      </c>
      <c r="B279">
        <v>22226.2</v>
      </c>
      <c r="C279">
        <v>204.16399999999999</v>
      </c>
      <c r="D279">
        <v>25.131</v>
      </c>
      <c r="E279">
        <v>1593.47</v>
      </c>
      <c r="F279">
        <v>536.48299999999995</v>
      </c>
      <c r="G279">
        <f t="shared" si="17"/>
        <v>7.2110606794690862E-2</v>
      </c>
      <c r="H279">
        <f t="shared" si="18"/>
        <v>0.7278201067817377</v>
      </c>
    </row>
    <row r="280" spans="1:8" x14ac:dyDescent="0.2">
      <c r="A280">
        <v>35619.300000000003</v>
      </c>
      <c r="B280">
        <v>20845.7</v>
      </c>
      <c r="C280">
        <v>26.963200000000001</v>
      </c>
      <c r="D280">
        <v>30.307700000000001</v>
      </c>
      <c r="E280">
        <v>676.66499999999996</v>
      </c>
      <c r="F280">
        <v>518.70399999999995</v>
      </c>
      <c r="G280">
        <f t="shared" si="17"/>
        <v>0.97756906631066209</v>
      </c>
      <c r="H280">
        <f t="shared" si="18"/>
        <v>0.73021045999343792</v>
      </c>
    </row>
    <row r="281" spans="1:8" x14ac:dyDescent="0.2">
      <c r="A281">
        <v>37302.400000000001</v>
      </c>
      <c r="B281">
        <v>23889.7</v>
      </c>
      <c r="C281">
        <v>23.722100000000001</v>
      </c>
      <c r="D281">
        <v>29.906099999999999</v>
      </c>
      <c r="E281">
        <v>691.83299999999997</v>
      </c>
      <c r="F281">
        <v>552.78599999999994</v>
      </c>
      <c r="G281">
        <f t="shared" si="17"/>
        <v>0.97936307214299179</v>
      </c>
      <c r="H281">
        <f t="shared" si="18"/>
        <v>0.73683014571623262</v>
      </c>
    </row>
    <row r="282" spans="1:8" x14ac:dyDescent="0.2">
      <c r="A282">
        <v>44900.9</v>
      </c>
      <c r="B282">
        <v>31451.200000000001</v>
      </c>
      <c r="C282">
        <v>25.973299999999998</v>
      </c>
      <c r="D282">
        <v>21.819800000000001</v>
      </c>
      <c r="E282">
        <v>776.65800000000002</v>
      </c>
      <c r="F282">
        <v>642.77800000000002</v>
      </c>
      <c r="G282">
        <f t="shared" si="17"/>
        <v>0.93541623494901072</v>
      </c>
      <c r="H282">
        <f t="shared" si="18"/>
        <v>0.71744063821254878</v>
      </c>
    </row>
    <row r="283" spans="1:8" x14ac:dyDescent="0.2">
      <c r="A283">
        <v>40178.199999999997</v>
      </c>
      <c r="B283">
        <v>23889.3</v>
      </c>
      <c r="C283">
        <v>32.682099999999998</v>
      </c>
      <c r="D283">
        <v>28.6921</v>
      </c>
      <c r="E283">
        <v>776.48900000000003</v>
      </c>
      <c r="F283">
        <v>555.66999999999996</v>
      </c>
      <c r="G283">
        <f t="shared" si="17"/>
        <v>0.8373930612852698</v>
      </c>
      <c r="H283">
        <f t="shared" si="18"/>
        <v>0.72918929486028061</v>
      </c>
    </row>
    <row r="284" spans="1:8" x14ac:dyDescent="0.2">
      <c r="A284">
        <v>35902.6</v>
      </c>
      <c r="B284">
        <v>36950.800000000003</v>
      </c>
      <c r="C284">
        <v>35.131799999999998</v>
      </c>
      <c r="D284">
        <v>23.825500000000002</v>
      </c>
      <c r="E284">
        <v>684.31</v>
      </c>
      <c r="F284">
        <v>685.79200000000003</v>
      </c>
      <c r="G284">
        <f t="shared" si="17"/>
        <v>0.96345098418100661</v>
      </c>
      <c r="H284">
        <f t="shared" si="18"/>
        <v>0.74047393681699092</v>
      </c>
    </row>
    <row r="285" spans="1:8" x14ac:dyDescent="0.2">
      <c r="A285">
        <v>33650</v>
      </c>
      <c r="B285">
        <v>16979.099999999999</v>
      </c>
      <c r="C285">
        <v>27.718699999999998</v>
      </c>
      <c r="D285">
        <v>21.7028</v>
      </c>
      <c r="E285">
        <v>667.42100000000005</v>
      </c>
      <c r="F285">
        <v>468.47</v>
      </c>
      <c r="G285">
        <f t="shared" si="17"/>
        <v>0.94928109302924812</v>
      </c>
      <c r="H285">
        <f t="shared" si="18"/>
        <v>0.72915835658052119</v>
      </c>
    </row>
    <row r="286" spans="1:8" x14ac:dyDescent="0.2">
      <c r="A286">
        <v>12283.5</v>
      </c>
      <c r="B286">
        <v>25087.3</v>
      </c>
      <c r="C286">
        <v>123.687</v>
      </c>
      <c r="D286">
        <v>30.319199999999999</v>
      </c>
      <c r="E286">
        <v>1045.6099999999999</v>
      </c>
      <c r="F286">
        <v>567.78899999999999</v>
      </c>
      <c r="G286">
        <f t="shared" si="17"/>
        <v>0.14118617455706753</v>
      </c>
      <c r="H286">
        <f t="shared" si="18"/>
        <v>0.73341659886940258</v>
      </c>
    </row>
    <row r="287" spans="1:8" x14ac:dyDescent="0.2">
      <c r="A287">
        <v>2763.36</v>
      </c>
      <c r="B287">
        <v>23050.7</v>
      </c>
      <c r="C287">
        <v>226.751</v>
      </c>
      <c r="D287">
        <v>27.227399999999999</v>
      </c>
      <c r="E287">
        <v>1131.95</v>
      </c>
      <c r="F287">
        <v>567.75099999999998</v>
      </c>
      <c r="G287">
        <f t="shared" si="17"/>
        <v>2.7101446816686772E-2</v>
      </c>
      <c r="H287">
        <f t="shared" si="18"/>
        <v>0.6739676689987546</v>
      </c>
    </row>
    <row r="288" spans="1:8" x14ac:dyDescent="0.2">
      <c r="A288">
        <v>33098.9</v>
      </c>
      <c r="B288">
        <v>5024.83</v>
      </c>
      <c r="C288">
        <v>28.591100000000001</v>
      </c>
      <c r="D288">
        <v>349.29599999999999</v>
      </c>
      <c r="E288">
        <v>662.6</v>
      </c>
      <c r="F288">
        <v>872.14300000000003</v>
      </c>
      <c r="G288">
        <f t="shared" si="17"/>
        <v>0.94737123666256706</v>
      </c>
      <c r="H288">
        <f t="shared" si="18"/>
        <v>6.2261092221314041E-2</v>
      </c>
    </row>
    <row r="289" spans="1:8" x14ac:dyDescent="0.2">
      <c r="A289">
        <v>39641.599999999999</v>
      </c>
      <c r="B289">
        <v>18421.400000000001</v>
      </c>
      <c r="C289">
        <v>31.465499999999999</v>
      </c>
      <c r="D289">
        <v>21.555599999999998</v>
      </c>
      <c r="E289">
        <v>721.39300000000003</v>
      </c>
      <c r="F289">
        <v>484.661</v>
      </c>
      <c r="G289">
        <f t="shared" si="17"/>
        <v>0.95723115355368216</v>
      </c>
      <c r="H289">
        <f t="shared" si="18"/>
        <v>0.73912389945371326</v>
      </c>
    </row>
    <row r="290" spans="1:8" x14ac:dyDescent="0.2">
      <c r="A290">
        <v>39221.199999999997</v>
      </c>
      <c r="B290">
        <v>5005.21</v>
      </c>
      <c r="C290">
        <v>26.227900000000002</v>
      </c>
      <c r="D290">
        <v>119.151</v>
      </c>
      <c r="E290">
        <v>707.70500000000004</v>
      </c>
      <c r="F290">
        <v>1076.3499999999999</v>
      </c>
      <c r="G290">
        <f t="shared" si="17"/>
        <v>0.98406966942698848</v>
      </c>
      <c r="H290">
        <f t="shared" si="18"/>
        <v>4.0717962105529706E-2</v>
      </c>
    </row>
    <row r="291" spans="1:8" x14ac:dyDescent="0.2">
      <c r="A291">
        <v>6005.77</v>
      </c>
      <c r="B291">
        <v>4408.04</v>
      </c>
      <c r="C291">
        <v>61.118699999999997</v>
      </c>
      <c r="D291">
        <v>94.050600000000003</v>
      </c>
      <c r="E291">
        <v>1140.1600000000001</v>
      </c>
      <c r="F291">
        <v>945.67700000000002</v>
      </c>
      <c r="G291">
        <f t="shared" si="17"/>
        <v>5.8055930753639004E-2</v>
      </c>
      <c r="H291">
        <f t="shared" si="18"/>
        <v>4.6454804225598667E-2</v>
      </c>
    </row>
    <row r="292" spans="1:8" x14ac:dyDescent="0.2">
      <c r="A292">
        <v>4203.49</v>
      </c>
      <c r="B292">
        <v>24914.7</v>
      </c>
      <c r="C292">
        <v>61.301099999999998</v>
      </c>
      <c r="D292">
        <v>28.723700000000001</v>
      </c>
      <c r="E292">
        <v>1137.0999999999999</v>
      </c>
      <c r="F292">
        <v>573.86800000000005</v>
      </c>
      <c r="G292">
        <f t="shared" si="17"/>
        <v>4.0852834693021312E-2</v>
      </c>
      <c r="H292">
        <f t="shared" si="18"/>
        <v>0.71302113983041238</v>
      </c>
    </row>
    <row r="293" spans="1:8" x14ac:dyDescent="0.2">
      <c r="A293">
        <v>48335.9</v>
      </c>
      <c r="B293">
        <v>17482.5</v>
      </c>
      <c r="C293">
        <v>60.213500000000003</v>
      </c>
      <c r="D293">
        <v>27.8537</v>
      </c>
      <c r="E293">
        <v>819.26199999999994</v>
      </c>
      <c r="F293">
        <v>475.87200000000001</v>
      </c>
      <c r="G293">
        <f t="shared" si="17"/>
        <v>0.9049689611408881</v>
      </c>
      <c r="H293">
        <f t="shared" si="18"/>
        <v>0.7276021833540206</v>
      </c>
    </row>
    <row r="294" spans="1:8" x14ac:dyDescent="0.2">
      <c r="A294">
        <v>32629.7</v>
      </c>
      <c r="B294">
        <v>40403.5</v>
      </c>
      <c r="C294">
        <v>23.2211</v>
      </c>
      <c r="D294">
        <v>30.484100000000002</v>
      </c>
      <c r="E294">
        <v>643.20399999999995</v>
      </c>
      <c r="F294">
        <v>720.08100000000002</v>
      </c>
      <c r="G294">
        <f t="shared" si="17"/>
        <v>0.99111740974078288</v>
      </c>
      <c r="H294">
        <f t="shared" si="18"/>
        <v>0.73439049106825949</v>
      </c>
    </row>
    <row r="295" spans="1:8" x14ac:dyDescent="0.2">
      <c r="A295">
        <v>42066.8</v>
      </c>
      <c r="B295">
        <v>19264</v>
      </c>
      <c r="C295">
        <v>27.6723</v>
      </c>
      <c r="D295">
        <v>29.675000000000001</v>
      </c>
      <c r="E295">
        <v>740.69899999999996</v>
      </c>
      <c r="F295">
        <v>497.608</v>
      </c>
      <c r="G295">
        <f t="shared" si="17"/>
        <v>0.96353047939098735</v>
      </c>
      <c r="H295">
        <f t="shared" si="18"/>
        <v>0.73323387758924985</v>
      </c>
    </row>
    <row r="296" spans="1:8" x14ac:dyDescent="0.2">
      <c r="A296">
        <v>39118</v>
      </c>
      <c r="B296">
        <v>19515.900000000001</v>
      </c>
      <c r="C296">
        <v>35.034999999999997</v>
      </c>
      <c r="D296">
        <v>24.741900000000001</v>
      </c>
      <c r="E296">
        <v>726.19</v>
      </c>
      <c r="F296">
        <v>504.154</v>
      </c>
      <c r="G296">
        <f t="shared" si="17"/>
        <v>0.93214958640026069</v>
      </c>
      <c r="H296">
        <f t="shared" si="18"/>
        <v>0.72365723781338465</v>
      </c>
    </row>
    <row r="297" spans="1:8" x14ac:dyDescent="0.2">
      <c r="A297">
        <v>5162.0600000000004</v>
      </c>
      <c r="B297">
        <v>2743.99</v>
      </c>
      <c r="C297">
        <v>86.2577</v>
      </c>
      <c r="D297">
        <v>57.009</v>
      </c>
      <c r="E297">
        <v>1199.9100000000001</v>
      </c>
      <c r="F297">
        <v>887.21699999999998</v>
      </c>
      <c r="G297">
        <f t="shared" si="17"/>
        <v>4.5054191418060656E-2</v>
      </c>
      <c r="H297">
        <f t="shared" si="18"/>
        <v>3.2854402651963835E-2</v>
      </c>
    </row>
    <row r="298" spans="1:8" x14ac:dyDescent="0.2">
      <c r="A298">
        <v>43596.1</v>
      </c>
      <c r="B298">
        <v>21989.4</v>
      </c>
      <c r="C298">
        <v>30.8231</v>
      </c>
      <c r="D298">
        <v>29.290400000000002</v>
      </c>
      <c r="E298">
        <v>768.96100000000001</v>
      </c>
      <c r="F298">
        <v>533.70699999999999</v>
      </c>
      <c r="G298">
        <f t="shared" si="17"/>
        <v>0.92650658312714673</v>
      </c>
      <c r="H298">
        <f t="shared" si="18"/>
        <v>0.72757596177739381</v>
      </c>
    </row>
    <row r="299" spans="1:8" x14ac:dyDescent="0.2">
      <c r="A299">
        <v>43162</v>
      </c>
      <c r="B299">
        <v>29021.7</v>
      </c>
      <c r="C299">
        <v>22.633600000000001</v>
      </c>
      <c r="D299">
        <v>62.573300000000003</v>
      </c>
      <c r="E299">
        <v>739.798</v>
      </c>
      <c r="F299">
        <v>732.17499999999995</v>
      </c>
      <c r="G299">
        <f t="shared" si="17"/>
        <v>0.99102532288665612</v>
      </c>
      <c r="H299">
        <f t="shared" si="18"/>
        <v>0.51022744709333501</v>
      </c>
    </row>
    <row r="300" spans="1:8" x14ac:dyDescent="0.2">
      <c r="A300">
        <v>42086.2</v>
      </c>
      <c r="B300">
        <v>23847.5</v>
      </c>
      <c r="C300">
        <v>18.618099999999998</v>
      </c>
      <c r="D300">
        <v>27.010899999999999</v>
      </c>
      <c r="E300">
        <v>729.33199999999999</v>
      </c>
      <c r="F300">
        <v>562.66300000000001</v>
      </c>
      <c r="G300">
        <f t="shared" si="17"/>
        <v>0.99425703804599908</v>
      </c>
      <c r="H300">
        <f t="shared" si="18"/>
        <v>0.70993224655675335</v>
      </c>
    </row>
    <row r="301" spans="1:8" x14ac:dyDescent="0.2">
      <c r="A301">
        <v>44721.8</v>
      </c>
      <c r="B301">
        <v>33535.9</v>
      </c>
      <c r="C301">
        <v>49.0593</v>
      </c>
      <c r="D301">
        <v>35.473199999999999</v>
      </c>
      <c r="E301">
        <v>1305.79</v>
      </c>
      <c r="F301">
        <v>695.59500000000003</v>
      </c>
      <c r="G301">
        <f t="shared" si="17"/>
        <v>0.32959612377941516</v>
      </c>
      <c r="H301">
        <f t="shared" si="18"/>
        <v>0.65323255937913893</v>
      </c>
    </row>
    <row r="302" spans="1:8" x14ac:dyDescent="0.2">
      <c r="A302">
        <v>40093.699999999997</v>
      </c>
      <c r="B302">
        <v>33651.4</v>
      </c>
      <c r="C302">
        <v>27.002600000000001</v>
      </c>
      <c r="D302">
        <v>77.358699999999999</v>
      </c>
      <c r="E302">
        <v>717.37199999999996</v>
      </c>
      <c r="F302">
        <v>809.91099999999994</v>
      </c>
      <c r="G302">
        <f t="shared" si="17"/>
        <v>0.97903178224682852</v>
      </c>
      <c r="H302">
        <f t="shared" si="18"/>
        <v>0.48350314408091016</v>
      </c>
    </row>
    <row r="303" spans="1:8" x14ac:dyDescent="0.2">
      <c r="A303">
        <v>5377.07</v>
      </c>
      <c r="B303">
        <v>34056.5</v>
      </c>
      <c r="C303">
        <v>60.346400000000003</v>
      </c>
      <c r="D303">
        <v>22.063600000000001</v>
      </c>
      <c r="E303">
        <v>1245.83</v>
      </c>
      <c r="F303">
        <v>671.13800000000003</v>
      </c>
      <c r="G303">
        <f t="shared" si="17"/>
        <v>4.3534906715887181E-2</v>
      </c>
      <c r="H303">
        <f t="shared" si="18"/>
        <v>0.71260212835002379</v>
      </c>
    </row>
    <row r="304" spans="1:8" x14ac:dyDescent="0.2">
      <c r="A304">
        <v>47419.199999999997</v>
      </c>
      <c r="B304">
        <v>35776.6</v>
      </c>
      <c r="C304">
        <v>35.062399999999997</v>
      </c>
      <c r="D304">
        <v>22.622699999999998</v>
      </c>
      <c r="E304">
        <v>805.61300000000006</v>
      </c>
      <c r="F304">
        <v>676.68</v>
      </c>
      <c r="G304">
        <f t="shared" si="17"/>
        <v>0.9181439747986706</v>
      </c>
      <c r="H304">
        <f t="shared" si="18"/>
        <v>0.73638196700437952</v>
      </c>
    </row>
    <row r="305" spans="1:8" x14ac:dyDescent="0.2">
      <c r="A305">
        <v>14013.7</v>
      </c>
      <c r="B305">
        <v>22789</v>
      </c>
      <c r="C305">
        <v>158.68899999999999</v>
      </c>
      <c r="D305">
        <v>24.6767</v>
      </c>
      <c r="E305">
        <v>1513.69</v>
      </c>
      <c r="F305">
        <v>540.25900000000001</v>
      </c>
      <c r="G305">
        <f t="shared" si="17"/>
        <v>7.6857885061097045E-2</v>
      </c>
      <c r="H305">
        <f t="shared" si="18"/>
        <v>0.73585459849056201</v>
      </c>
    </row>
    <row r="306" spans="1:8" x14ac:dyDescent="0.2">
      <c r="A306">
        <v>8178.12</v>
      </c>
      <c r="B306">
        <v>20097.400000000001</v>
      </c>
      <c r="C306">
        <v>119.60899999999999</v>
      </c>
      <c r="D306">
        <v>25.162500000000001</v>
      </c>
      <c r="E306">
        <v>1409.35</v>
      </c>
      <c r="F306">
        <v>510.28100000000001</v>
      </c>
      <c r="G306">
        <f t="shared" si="17"/>
        <v>5.173986084605383E-2</v>
      </c>
      <c r="H306">
        <f t="shared" si="18"/>
        <v>0.72743106062560359</v>
      </c>
    </row>
    <row r="307" spans="1:8" x14ac:dyDescent="0.2">
      <c r="A307">
        <v>47007</v>
      </c>
      <c r="B307">
        <v>18382.8</v>
      </c>
      <c r="C307">
        <v>54.012700000000002</v>
      </c>
      <c r="D307">
        <v>31.0229</v>
      </c>
      <c r="E307">
        <v>1207.8599999999999</v>
      </c>
      <c r="F307">
        <v>485.69799999999998</v>
      </c>
      <c r="G307">
        <f t="shared" si="17"/>
        <v>0.40489166260531551</v>
      </c>
      <c r="H307">
        <f t="shared" si="18"/>
        <v>0.73442895809928022</v>
      </c>
    </row>
    <row r="308" spans="1:8" x14ac:dyDescent="0.2">
      <c r="A308">
        <v>40481.4</v>
      </c>
      <c r="B308">
        <v>17517.5</v>
      </c>
      <c r="C308">
        <v>53.345100000000002</v>
      </c>
      <c r="D308">
        <v>28.9803</v>
      </c>
      <c r="E308">
        <v>1219.6099999999999</v>
      </c>
      <c r="F308">
        <v>480.91899999999998</v>
      </c>
      <c r="G308">
        <f t="shared" si="17"/>
        <v>0.34199760723542677</v>
      </c>
      <c r="H308">
        <f t="shared" si="18"/>
        <v>0.71383693618741895</v>
      </c>
    </row>
    <row r="309" spans="1:8" x14ac:dyDescent="0.2">
      <c r="A309">
        <v>46191.199999999997</v>
      </c>
      <c r="B309">
        <v>21833.9</v>
      </c>
      <c r="C309">
        <v>34.894199999999998</v>
      </c>
      <c r="D309">
        <v>25.077400000000001</v>
      </c>
      <c r="E309">
        <v>808.28700000000003</v>
      </c>
      <c r="F309">
        <v>526.99199999999996</v>
      </c>
      <c r="G309">
        <f t="shared" si="17"/>
        <v>0.8884593338262472</v>
      </c>
      <c r="H309">
        <f t="shared" si="18"/>
        <v>0.74095875266818079</v>
      </c>
    </row>
    <row r="310" spans="1:8" x14ac:dyDescent="0.2">
      <c r="A310">
        <v>627.55899999999997</v>
      </c>
      <c r="B310">
        <v>17364.8</v>
      </c>
      <c r="C310">
        <v>52.0852</v>
      </c>
      <c r="D310">
        <v>29.7668</v>
      </c>
      <c r="E310">
        <v>116.30200000000001</v>
      </c>
      <c r="F310">
        <v>483.68400000000003</v>
      </c>
      <c r="G310">
        <f t="shared" si="17"/>
        <v>0.58302837697055876</v>
      </c>
      <c r="H310">
        <f t="shared" si="18"/>
        <v>0.69954733016756043</v>
      </c>
    </row>
    <row r="311" spans="1:8" x14ac:dyDescent="0.2">
      <c r="A311">
        <v>28794.9</v>
      </c>
      <c r="B311">
        <v>37533.300000000003</v>
      </c>
      <c r="C311">
        <v>29.6172</v>
      </c>
      <c r="D311">
        <v>17.032900000000001</v>
      </c>
      <c r="E311">
        <v>619.05200000000002</v>
      </c>
      <c r="F311">
        <v>692.048</v>
      </c>
      <c r="G311">
        <f t="shared" si="17"/>
        <v>0.9442148137153713</v>
      </c>
      <c r="H311">
        <f t="shared" si="18"/>
        <v>0.73860981575554374</v>
      </c>
    </row>
    <row r="312" spans="1:8" x14ac:dyDescent="0.2">
      <c r="A312">
        <v>37507.599999999999</v>
      </c>
      <c r="B312">
        <v>19126</v>
      </c>
      <c r="C312">
        <v>28.0017</v>
      </c>
      <c r="D312">
        <v>26.897400000000001</v>
      </c>
      <c r="E312">
        <v>697.04899999999998</v>
      </c>
      <c r="F312">
        <v>498.95100000000002</v>
      </c>
      <c r="G312">
        <f t="shared" si="17"/>
        <v>0.97006794963761245</v>
      </c>
      <c r="H312">
        <f t="shared" si="18"/>
        <v>0.72406760469041576</v>
      </c>
    </row>
    <row r="313" spans="1:8" x14ac:dyDescent="0.2">
      <c r="A313">
        <v>32860.400000000001</v>
      </c>
      <c r="B313">
        <v>21424.1</v>
      </c>
      <c r="C313">
        <v>139.10900000000001</v>
      </c>
      <c r="D313">
        <v>21.4376</v>
      </c>
      <c r="E313">
        <v>1083.75</v>
      </c>
      <c r="F313">
        <v>521.322</v>
      </c>
      <c r="G313">
        <f t="shared" si="17"/>
        <v>0.35157996768897776</v>
      </c>
      <c r="H313">
        <f t="shared" si="18"/>
        <v>0.74295283107189425</v>
      </c>
    </row>
    <row r="314" spans="1:8" x14ac:dyDescent="0.2">
      <c r="A314">
        <v>42044.5</v>
      </c>
      <c r="B314">
        <v>17497.900000000001</v>
      </c>
      <c r="C314">
        <v>63.278500000000001</v>
      </c>
      <c r="D314">
        <v>23.4757</v>
      </c>
      <c r="E314">
        <v>1169.05</v>
      </c>
      <c r="F314">
        <v>472.03199999999998</v>
      </c>
      <c r="G314">
        <f t="shared" si="17"/>
        <v>0.38659169220013057</v>
      </c>
      <c r="H314">
        <f t="shared" si="18"/>
        <v>0.74013988472897019</v>
      </c>
    </row>
    <row r="315" spans="1:8" x14ac:dyDescent="0.2">
      <c r="A315">
        <v>43019.1</v>
      </c>
      <c r="B315">
        <v>23141.599999999999</v>
      </c>
      <c r="C315">
        <v>29.428999999999998</v>
      </c>
      <c r="D315">
        <v>40.331800000000001</v>
      </c>
      <c r="E315">
        <v>746.71299999999997</v>
      </c>
      <c r="F315">
        <v>549.23299999999995</v>
      </c>
      <c r="G315">
        <f t="shared" si="17"/>
        <v>0.9695347795467355</v>
      </c>
      <c r="H315">
        <f t="shared" si="18"/>
        <v>0.72302097482039562</v>
      </c>
    </row>
    <row r="316" spans="1:8" x14ac:dyDescent="0.2">
      <c r="A316">
        <v>42541</v>
      </c>
      <c r="B316">
        <v>23733.7</v>
      </c>
      <c r="C316">
        <v>31.210999999999999</v>
      </c>
      <c r="D316">
        <v>24.8248</v>
      </c>
      <c r="E316">
        <v>746.52700000000004</v>
      </c>
      <c r="F316">
        <v>556.35400000000004</v>
      </c>
      <c r="G316">
        <f t="shared" si="17"/>
        <v>0.95923750843972122</v>
      </c>
      <c r="H316">
        <f t="shared" si="18"/>
        <v>0.72265960509278537</v>
      </c>
    </row>
    <row r="317" spans="1:8" x14ac:dyDescent="0.2">
      <c r="A317">
        <v>32796.6</v>
      </c>
      <c r="B317">
        <v>19759.599999999999</v>
      </c>
      <c r="C317">
        <v>26.195399999999999</v>
      </c>
      <c r="D317">
        <v>28.414100000000001</v>
      </c>
      <c r="E317">
        <v>652.28300000000002</v>
      </c>
      <c r="F317">
        <v>517.11699999999996</v>
      </c>
      <c r="G317">
        <f t="shared" si="17"/>
        <v>0.96864847781448116</v>
      </c>
      <c r="H317">
        <f t="shared" si="18"/>
        <v>0.69642007060299604</v>
      </c>
    </row>
    <row r="318" spans="1:8" x14ac:dyDescent="0.2">
      <c r="A318">
        <v>37190</v>
      </c>
      <c r="B318">
        <v>19760.599999999999</v>
      </c>
      <c r="C318">
        <v>27.400200000000002</v>
      </c>
      <c r="D318">
        <v>31.885000000000002</v>
      </c>
      <c r="E318">
        <v>710.21299999999997</v>
      </c>
      <c r="F318">
        <v>507.26100000000002</v>
      </c>
      <c r="G318">
        <f t="shared" si="17"/>
        <v>0.92652776983752538</v>
      </c>
      <c r="H318">
        <f t="shared" si="18"/>
        <v>0.72378227063390843</v>
      </c>
    </row>
    <row r="319" spans="1:8" x14ac:dyDescent="0.2">
      <c r="A319">
        <v>6525.64</v>
      </c>
      <c r="B319">
        <v>48128.6</v>
      </c>
      <c r="C319">
        <v>64.270899999999997</v>
      </c>
      <c r="D319">
        <v>34.815399999999997</v>
      </c>
      <c r="E319">
        <v>1147.05</v>
      </c>
      <c r="F319">
        <v>791.50800000000004</v>
      </c>
      <c r="G319">
        <f t="shared" si="17"/>
        <v>6.2325806941522365E-2</v>
      </c>
      <c r="H319">
        <f t="shared" si="18"/>
        <v>0.72404135397211067</v>
      </c>
    </row>
    <row r="320" spans="1:8" x14ac:dyDescent="0.2">
      <c r="A320">
        <v>7331.62</v>
      </c>
      <c r="B320">
        <v>35239.9</v>
      </c>
      <c r="C320">
        <v>51.765999999999998</v>
      </c>
      <c r="D320">
        <v>50.204599999999999</v>
      </c>
      <c r="E320">
        <v>1223.3699999999999</v>
      </c>
      <c r="F320">
        <v>686.85299999999995</v>
      </c>
      <c r="G320">
        <f t="shared" si="17"/>
        <v>6.1559316870085264E-2</v>
      </c>
      <c r="H320">
        <f t="shared" si="18"/>
        <v>0.70400838045454328</v>
      </c>
    </row>
    <row r="321" spans="1:8" x14ac:dyDescent="0.2">
      <c r="A321">
        <v>30932.5</v>
      </c>
      <c r="B321">
        <v>17892.3</v>
      </c>
      <c r="C321">
        <v>33.116399999999999</v>
      </c>
      <c r="D321">
        <v>29.141400000000001</v>
      </c>
      <c r="E321">
        <v>639.81500000000005</v>
      </c>
      <c r="F321">
        <v>495.75700000000001</v>
      </c>
      <c r="G321">
        <f t="shared" si="17"/>
        <v>0.94954528937093607</v>
      </c>
      <c r="H321">
        <f t="shared" si="18"/>
        <v>0.68611864583063464</v>
      </c>
    </row>
    <row r="322" spans="1:8" x14ac:dyDescent="0.2">
      <c r="A322">
        <v>38352.6</v>
      </c>
      <c r="B322">
        <v>23177.4</v>
      </c>
      <c r="C322">
        <v>40.671399999999998</v>
      </c>
      <c r="D322">
        <v>24.6755</v>
      </c>
      <c r="E322">
        <v>754.36099999999999</v>
      </c>
      <c r="F322">
        <v>546.13699999999994</v>
      </c>
      <c r="G322">
        <f t="shared" si="17"/>
        <v>0.84692675562520126</v>
      </c>
      <c r="H322">
        <f t="shared" si="18"/>
        <v>0.73237291703301044</v>
      </c>
    </row>
    <row r="323" spans="1:8" x14ac:dyDescent="0.2">
      <c r="A323">
        <v>36403.599999999999</v>
      </c>
      <c r="B323">
        <v>17808.5</v>
      </c>
      <c r="C323">
        <v>36.0807</v>
      </c>
      <c r="D323">
        <v>30.6004</v>
      </c>
      <c r="E323">
        <v>704.49800000000005</v>
      </c>
      <c r="F323">
        <v>483.35399999999998</v>
      </c>
      <c r="G323">
        <f t="shared" ref="G323:G386" si="19" xml:space="preserve"> 3.14159*4*A323/(E323*E323)</f>
        <v>0.921710005326416</v>
      </c>
      <c r="H323">
        <f t="shared" ref="H323:H386" si="20" xml:space="preserve"> 3*3.14159*B323/(F323*F323)</f>
        <v>0.71840189178754799</v>
      </c>
    </row>
    <row r="324" spans="1:8" x14ac:dyDescent="0.2">
      <c r="A324">
        <v>35043.599999999999</v>
      </c>
      <c r="B324">
        <v>17711.3</v>
      </c>
      <c r="C324">
        <v>32.156999999999996</v>
      </c>
      <c r="D324">
        <v>26.839300000000001</v>
      </c>
      <c r="E324">
        <v>676.03099999999995</v>
      </c>
      <c r="F324">
        <v>486.60500000000002</v>
      </c>
      <c r="G324">
        <f t="shared" si="19"/>
        <v>0.96357381364519812</v>
      </c>
      <c r="H324">
        <f t="shared" si="20"/>
        <v>0.70496582779213623</v>
      </c>
    </row>
    <row r="325" spans="1:8" x14ac:dyDescent="0.2">
      <c r="A325">
        <v>38678</v>
      </c>
      <c r="B325">
        <v>22289.200000000001</v>
      </c>
      <c r="C325">
        <v>22.7544</v>
      </c>
      <c r="D325">
        <v>34.0717</v>
      </c>
      <c r="E325">
        <v>703.99599999999998</v>
      </c>
      <c r="F325">
        <v>538.96199999999999</v>
      </c>
      <c r="G325">
        <f t="shared" si="19"/>
        <v>0.9806931078251957</v>
      </c>
      <c r="H325">
        <f t="shared" si="20"/>
        <v>0.72318423438821777</v>
      </c>
    </row>
    <row r="326" spans="1:8" x14ac:dyDescent="0.2">
      <c r="A326">
        <v>40687.300000000003</v>
      </c>
      <c r="B326">
        <v>17527.2</v>
      </c>
      <c r="C326">
        <v>23.720500000000001</v>
      </c>
      <c r="D326">
        <v>27.587700000000002</v>
      </c>
      <c r="E326">
        <v>718.08100000000002</v>
      </c>
      <c r="F326">
        <v>477.73399999999998</v>
      </c>
      <c r="G326">
        <f t="shared" si="19"/>
        <v>0.99156570356755702</v>
      </c>
      <c r="H326">
        <f t="shared" si="20"/>
        <v>0.72378737139185345</v>
      </c>
    </row>
    <row r="327" spans="1:8" x14ac:dyDescent="0.2">
      <c r="A327">
        <v>7334.64</v>
      </c>
      <c r="B327">
        <v>19672.5</v>
      </c>
      <c r="C327">
        <v>70.515799999999999</v>
      </c>
      <c r="D327">
        <v>33.6571</v>
      </c>
      <c r="E327">
        <v>1309.58</v>
      </c>
      <c r="F327">
        <v>528.05899999999997</v>
      </c>
      <c r="G327">
        <f t="shared" si="19"/>
        <v>5.374328788769632E-2</v>
      </c>
      <c r="H327">
        <f t="shared" si="20"/>
        <v>0.66491390723412525</v>
      </c>
    </row>
    <row r="328" spans="1:8" x14ac:dyDescent="0.2">
      <c r="A328">
        <v>37395</v>
      </c>
      <c r="B328">
        <v>19070.7</v>
      </c>
      <c r="C328">
        <v>26.2956</v>
      </c>
      <c r="D328">
        <v>32.1111</v>
      </c>
      <c r="E328">
        <v>697.13099999999997</v>
      </c>
      <c r="F328">
        <v>512.38900000000001</v>
      </c>
      <c r="G328">
        <f t="shared" si="19"/>
        <v>0.96692823923201376</v>
      </c>
      <c r="H328">
        <f t="shared" si="20"/>
        <v>0.68460142612743258</v>
      </c>
    </row>
    <row r="329" spans="1:8" x14ac:dyDescent="0.2">
      <c r="A329">
        <v>32262.2</v>
      </c>
      <c r="B329">
        <v>20073.7</v>
      </c>
      <c r="C329">
        <v>25.004200000000001</v>
      </c>
      <c r="D329">
        <v>27.044499999999999</v>
      </c>
      <c r="E329">
        <v>668.779</v>
      </c>
      <c r="F329">
        <v>512.98800000000006</v>
      </c>
      <c r="G329">
        <f t="shared" si="19"/>
        <v>0.90643824483538793</v>
      </c>
      <c r="H329">
        <f t="shared" si="20"/>
        <v>0.71892531739673926</v>
      </c>
    </row>
    <row r="330" spans="1:8" x14ac:dyDescent="0.2">
      <c r="A330">
        <v>37290.6</v>
      </c>
      <c r="B330">
        <v>23224.1</v>
      </c>
      <c r="C330">
        <v>32.389200000000002</v>
      </c>
      <c r="D330">
        <v>29.546700000000001</v>
      </c>
      <c r="E330">
        <v>693.90099999999995</v>
      </c>
      <c r="F330">
        <v>554.01</v>
      </c>
      <c r="G330">
        <f t="shared" si="19"/>
        <v>0.97322631126263848</v>
      </c>
      <c r="H330">
        <f t="shared" si="20"/>
        <v>0.71313942349331327</v>
      </c>
    </row>
    <row r="331" spans="1:8" x14ac:dyDescent="0.2">
      <c r="A331">
        <v>34391.199999999997</v>
      </c>
      <c r="B331">
        <v>19032.099999999999</v>
      </c>
      <c r="C331">
        <v>32.5182</v>
      </c>
      <c r="D331">
        <v>29.9834</v>
      </c>
      <c r="E331">
        <v>674.91099999999994</v>
      </c>
      <c r="F331">
        <v>499.798</v>
      </c>
      <c r="G331">
        <f t="shared" si="19"/>
        <v>0.94877626992718778</v>
      </c>
      <c r="H331">
        <f t="shared" si="20"/>
        <v>0.71807274604584359</v>
      </c>
    </row>
    <row r="332" spans="1:8" x14ac:dyDescent="0.2">
      <c r="A332">
        <v>43446.5</v>
      </c>
      <c r="B332">
        <v>19268.900000000001</v>
      </c>
      <c r="C332">
        <v>25.0318</v>
      </c>
      <c r="D332">
        <v>29.3367</v>
      </c>
      <c r="E332">
        <v>752.23699999999997</v>
      </c>
      <c r="F332">
        <v>501.79300000000001</v>
      </c>
      <c r="G332">
        <f t="shared" si="19"/>
        <v>0.96483913564842516</v>
      </c>
      <c r="H332">
        <f t="shared" si="20"/>
        <v>0.72123781035353085</v>
      </c>
    </row>
    <row r="333" spans="1:8" x14ac:dyDescent="0.2">
      <c r="A333">
        <v>32996.9</v>
      </c>
      <c r="B333">
        <v>24118.799999999999</v>
      </c>
      <c r="C333">
        <v>27.979399999999998</v>
      </c>
      <c r="D333">
        <v>25.084900000000001</v>
      </c>
      <c r="E333">
        <v>655.78200000000004</v>
      </c>
      <c r="F333">
        <v>556.72199999999998</v>
      </c>
      <c r="G333">
        <f t="shared" si="19"/>
        <v>0.96419228901012033</v>
      </c>
      <c r="H333">
        <f t="shared" si="20"/>
        <v>0.73341483357370074</v>
      </c>
    </row>
    <row r="334" spans="1:8" x14ac:dyDescent="0.2">
      <c r="A334">
        <v>42439</v>
      </c>
      <c r="B334">
        <v>23508</v>
      </c>
      <c r="C334">
        <v>42.698999999999998</v>
      </c>
      <c r="D334">
        <v>25.1571</v>
      </c>
      <c r="E334">
        <v>786</v>
      </c>
      <c r="F334">
        <v>549.82399999999996</v>
      </c>
      <c r="G334">
        <f t="shared" si="19"/>
        <v>0.86323600677246204</v>
      </c>
      <c r="H334">
        <f t="shared" si="20"/>
        <v>0.73289043982524271</v>
      </c>
    </row>
    <row r="335" spans="1:8" x14ac:dyDescent="0.2">
      <c r="A335">
        <v>34643.199999999997</v>
      </c>
      <c r="B335">
        <v>18766.8</v>
      </c>
      <c r="C335">
        <v>32.058599999999998</v>
      </c>
      <c r="D335">
        <v>21.1297</v>
      </c>
      <c r="E335">
        <v>666.66399999999999</v>
      </c>
      <c r="F335">
        <v>488.09100000000001</v>
      </c>
      <c r="G335">
        <f t="shared" si="19"/>
        <v>0.97952041233962628</v>
      </c>
      <c r="H335">
        <f t="shared" si="20"/>
        <v>0.74243662337384408</v>
      </c>
    </row>
    <row r="336" spans="1:8" x14ac:dyDescent="0.2">
      <c r="A336">
        <v>31969.8</v>
      </c>
      <c r="B336">
        <v>19653.099999999999</v>
      </c>
      <c r="C336">
        <v>29.101800000000001</v>
      </c>
      <c r="D336">
        <v>23.303100000000001</v>
      </c>
      <c r="E336">
        <v>646.48199999999997</v>
      </c>
      <c r="F336">
        <v>510.47699999999998</v>
      </c>
      <c r="G336">
        <f t="shared" si="19"/>
        <v>0.96125041856961158</v>
      </c>
      <c r="H336">
        <f t="shared" si="20"/>
        <v>0.71080334985308369</v>
      </c>
    </row>
    <row r="337" spans="1:8" x14ac:dyDescent="0.2">
      <c r="A337">
        <v>36439.4</v>
      </c>
      <c r="B337">
        <v>22296.2</v>
      </c>
      <c r="C337">
        <v>26.411300000000001</v>
      </c>
      <c r="D337">
        <v>25.731200000000001</v>
      </c>
      <c r="E337">
        <v>684.94299999999998</v>
      </c>
      <c r="F337">
        <v>535.08699999999999</v>
      </c>
      <c r="G337">
        <f t="shared" si="19"/>
        <v>0.97604951807700302</v>
      </c>
      <c r="H337">
        <f t="shared" si="20"/>
        <v>0.73392691086653727</v>
      </c>
    </row>
    <row r="338" spans="1:8" x14ac:dyDescent="0.2">
      <c r="A338">
        <v>34301.9</v>
      </c>
      <c r="B338">
        <v>19796.5</v>
      </c>
      <c r="C338">
        <v>25.488600000000002</v>
      </c>
      <c r="D338">
        <v>27.518899999999999</v>
      </c>
      <c r="E338">
        <v>664.601</v>
      </c>
      <c r="F338">
        <v>510.81700000000001</v>
      </c>
      <c r="G338">
        <f t="shared" si="19"/>
        <v>0.97590084237578945</v>
      </c>
      <c r="H338">
        <f t="shared" si="20"/>
        <v>0.71503695934637945</v>
      </c>
    </row>
    <row r="339" spans="1:8" x14ac:dyDescent="0.2">
      <c r="A339">
        <v>37357.599999999999</v>
      </c>
      <c r="B339">
        <v>20307.8</v>
      </c>
      <c r="C339">
        <v>22.457999999999998</v>
      </c>
      <c r="D339">
        <v>24.340199999999999</v>
      </c>
      <c r="E339">
        <v>695.39400000000001</v>
      </c>
      <c r="F339">
        <v>510.49700000000001</v>
      </c>
      <c r="G339">
        <f t="shared" si="19"/>
        <v>0.97079288898176141</v>
      </c>
      <c r="H339">
        <f t="shared" si="20"/>
        <v>0.73442465805591983</v>
      </c>
    </row>
    <row r="340" spans="1:8" x14ac:dyDescent="0.2">
      <c r="A340">
        <v>6581.36</v>
      </c>
      <c r="B340">
        <v>18665.099999999999</v>
      </c>
      <c r="C340">
        <v>171.535</v>
      </c>
      <c r="D340">
        <v>25.188300000000002</v>
      </c>
      <c r="E340">
        <v>1243.1300000000001</v>
      </c>
      <c r="F340">
        <v>490.56799999999998</v>
      </c>
      <c r="G340">
        <f t="shared" si="19"/>
        <v>5.3517035711851665E-2</v>
      </c>
      <c r="H340">
        <f t="shared" si="20"/>
        <v>0.73097521305397117</v>
      </c>
    </row>
    <row r="341" spans="1:8" x14ac:dyDescent="0.2">
      <c r="A341">
        <v>39495</v>
      </c>
      <c r="B341">
        <v>19554.400000000001</v>
      </c>
      <c r="C341">
        <v>30.845400000000001</v>
      </c>
      <c r="D341">
        <v>32.754399999999997</v>
      </c>
      <c r="E341">
        <v>724.65599999999995</v>
      </c>
      <c r="F341">
        <v>525.19100000000003</v>
      </c>
      <c r="G341">
        <f t="shared" si="19"/>
        <v>0.94512190852037825</v>
      </c>
      <c r="H341">
        <f t="shared" si="20"/>
        <v>0.66816035756238679</v>
      </c>
    </row>
    <row r="342" spans="1:8" x14ac:dyDescent="0.2">
      <c r="A342">
        <v>43951.8</v>
      </c>
      <c r="B342">
        <v>18958.400000000001</v>
      </c>
      <c r="C342">
        <v>32.3718</v>
      </c>
      <c r="D342">
        <v>26.833200000000001</v>
      </c>
      <c r="E342">
        <v>794.18499999999995</v>
      </c>
      <c r="F342">
        <v>522.61800000000005</v>
      </c>
      <c r="G342">
        <f t="shared" si="19"/>
        <v>0.87567470094409283</v>
      </c>
      <c r="H342">
        <f t="shared" si="20"/>
        <v>0.65418972028901712</v>
      </c>
    </row>
    <row r="343" spans="1:8" x14ac:dyDescent="0.2">
      <c r="A343">
        <v>43407.7</v>
      </c>
      <c r="B343">
        <v>19383.3</v>
      </c>
      <c r="C343">
        <v>44.698900000000002</v>
      </c>
      <c r="D343">
        <v>28.287600000000001</v>
      </c>
      <c r="E343">
        <v>979.65800000000002</v>
      </c>
      <c r="F343">
        <v>503.32900000000001</v>
      </c>
      <c r="G343">
        <f t="shared" si="19"/>
        <v>0.56836495719686519</v>
      </c>
      <c r="H343">
        <f t="shared" si="20"/>
        <v>0.72109846466069771</v>
      </c>
    </row>
    <row r="344" spans="1:8" x14ac:dyDescent="0.2">
      <c r="A344">
        <v>43659.5</v>
      </c>
      <c r="B344">
        <v>16637.099999999999</v>
      </c>
      <c r="C344">
        <v>23.072900000000001</v>
      </c>
      <c r="D344">
        <v>31.826499999999999</v>
      </c>
      <c r="E344">
        <v>751.92600000000004</v>
      </c>
      <c r="F344">
        <v>473.18099999999998</v>
      </c>
      <c r="G344">
        <f t="shared" si="19"/>
        <v>0.97037154039088092</v>
      </c>
      <c r="H344">
        <f t="shared" si="20"/>
        <v>0.70031558621098067</v>
      </c>
    </row>
    <row r="345" spans="1:8" x14ac:dyDescent="0.2">
      <c r="A345">
        <v>20777.8</v>
      </c>
      <c r="B345">
        <v>24145.3</v>
      </c>
      <c r="C345">
        <v>243.334</v>
      </c>
      <c r="D345">
        <v>25.1783</v>
      </c>
      <c r="E345">
        <v>1276.0899999999999</v>
      </c>
      <c r="F345">
        <v>556.31100000000004</v>
      </c>
      <c r="G345">
        <f t="shared" si="19"/>
        <v>0.16034168678976382</v>
      </c>
      <c r="H345">
        <f t="shared" si="20"/>
        <v>0.73530593537870281</v>
      </c>
    </row>
    <row r="346" spans="1:8" x14ac:dyDescent="0.2">
      <c r="A346">
        <v>17078.7</v>
      </c>
      <c r="B346">
        <v>16447</v>
      </c>
      <c r="C346">
        <v>144.79300000000001</v>
      </c>
      <c r="D346">
        <v>30.933499999999999</v>
      </c>
      <c r="E346">
        <v>1614.25</v>
      </c>
      <c r="F346">
        <v>462.16199999999998</v>
      </c>
      <c r="G346">
        <f t="shared" si="19"/>
        <v>8.2361209724765988E-2</v>
      </c>
      <c r="H346">
        <f t="shared" si="20"/>
        <v>0.72571982157173576</v>
      </c>
    </row>
    <row r="347" spans="1:8" x14ac:dyDescent="0.2">
      <c r="A347">
        <v>49599.8</v>
      </c>
      <c r="B347">
        <v>21875.5</v>
      </c>
      <c r="C347">
        <v>73.308599999999998</v>
      </c>
      <c r="D347">
        <v>27.169699999999999</v>
      </c>
      <c r="E347">
        <v>1359.42</v>
      </c>
      <c r="F347">
        <v>544.60500000000002</v>
      </c>
      <c r="G347">
        <f t="shared" si="19"/>
        <v>0.33727341685318452</v>
      </c>
      <c r="H347">
        <f t="shared" si="20"/>
        <v>0.69512914917145086</v>
      </c>
    </row>
    <row r="348" spans="1:8" x14ac:dyDescent="0.2">
      <c r="A348">
        <v>20080.599999999999</v>
      </c>
      <c r="B348">
        <v>18834.7</v>
      </c>
      <c r="C348">
        <v>233.245</v>
      </c>
      <c r="D348">
        <v>28.9695</v>
      </c>
      <c r="E348">
        <v>1331.58</v>
      </c>
      <c r="F348">
        <v>489.38799999999998</v>
      </c>
      <c r="G348">
        <f t="shared" si="19"/>
        <v>0.14231532054432139</v>
      </c>
      <c r="H348">
        <f t="shared" si="20"/>
        <v>0.74117853875647632</v>
      </c>
    </row>
    <row r="349" spans="1:8" x14ac:dyDescent="0.2">
      <c r="A349">
        <v>47890.400000000001</v>
      </c>
      <c r="B349">
        <v>16510.5</v>
      </c>
      <c r="C349">
        <v>66.401899999999998</v>
      </c>
      <c r="D349">
        <v>33.108899999999998</v>
      </c>
      <c r="E349">
        <v>1042.6199999999999</v>
      </c>
      <c r="F349">
        <v>475.76100000000002</v>
      </c>
      <c r="G349">
        <f t="shared" si="19"/>
        <v>0.5536124632460262</v>
      </c>
      <c r="H349">
        <f t="shared" si="20"/>
        <v>0.6874693009461359</v>
      </c>
    </row>
    <row r="350" spans="1:8" x14ac:dyDescent="0.2">
      <c r="A350">
        <v>45066.3</v>
      </c>
      <c r="B350">
        <v>19668.099999999999</v>
      </c>
      <c r="C350">
        <v>51.451099999999997</v>
      </c>
      <c r="D350">
        <v>30.504999999999999</v>
      </c>
      <c r="E350">
        <v>993.74199999999996</v>
      </c>
      <c r="F350">
        <v>511.03699999999998</v>
      </c>
      <c r="G350">
        <f t="shared" si="19"/>
        <v>0.57347449775012005</v>
      </c>
      <c r="H350">
        <f t="shared" si="20"/>
        <v>0.70978771509239813</v>
      </c>
    </row>
    <row r="351" spans="1:8" x14ac:dyDescent="0.2">
      <c r="A351">
        <v>17762.400000000001</v>
      </c>
      <c r="B351">
        <v>18853.3</v>
      </c>
      <c r="C351">
        <v>148.267</v>
      </c>
      <c r="D351">
        <v>29.370799999999999</v>
      </c>
      <c r="E351">
        <v>1331.98</v>
      </c>
      <c r="F351">
        <v>509.26400000000001</v>
      </c>
      <c r="G351">
        <f t="shared" si="19"/>
        <v>0.12581016601022246</v>
      </c>
      <c r="H351">
        <f t="shared" si="20"/>
        <v>0.68512873877846392</v>
      </c>
    </row>
    <row r="352" spans="1:8" x14ac:dyDescent="0.2">
      <c r="A352">
        <v>14823.4</v>
      </c>
      <c r="B352">
        <v>23617.9</v>
      </c>
      <c r="C352">
        <v>173.244</v>
      </c>
      <c r="D352">
        <v>35.011699999999998</v>
      </c>
      <c r="E352">
        <v>1662.86</v>
      </c>
      <c r="F352">
        <v>555.88400000000001</v>
      </c>
      <c r="G352">
        <f t="shared" si="19"/>
        <v>6.7366805233497903E-2</v>
      </c>
      <c r="H352">
        <f t="shared" si="20"/>
        <v>0.7203502183677577</v>
      </c>
    </row>
    <row r="353" spans="1:8" x14ac:dyDescent="0.2">
      <c r="A353">
        <v>4212.79</v>
      </c>
      <c r="B353">
        <v>25203.1</v>
      </c>
      <c r="C353">
        <v>79.678700000000006</v>
      </c>
      <c r="D353">
        <v>41.935899999999997</v>
      </c>
      <c r="E353">
        <v>1110.82</v>
      </c>
      <c r="F353">
        <v>607.74699999999996</v>
      </c>
      <c r="G353">
        <f t="shared" si="19"/>
        <v>4.2903421400715513E-2</v>
      </c>
      <c r="H353">
        <f t="shared" si="20"/>
        <v>0.64310083835449627</v>
      </c>
    </row>
    <row r="354" spans="1:8" x14ac:dyDescent="0.2">
      <c r="A354">
        <v>47310.7</v>
      </c>
      <c r="B354">
        <v>22811.599999999999</v>
      </c>
      <c r="C354">
        <v>29.7942</v>
      </c>
      <c r="D354">
        <v>26.192499999999999</v>
      </c>
      <c r="E354">
        <v>791.05799999999999</v>
      </c>
      <c r="F354">
        <v>538.97</v>
      </c>
      <c r="G354">
        <f t="shared" si="19"/>
        <v>0.95006258926361675</v>
      </c>
      <c r="H354">
        <f t="shared" si="20"/>
        <v>0.74011179185411002</v>
      </c>
    </row>
    <row r="355" spans="1:8" x14ac:dyDescent="0.2">
      <c r="A355">
        <v>42009.9</v>
      </c>
      <c r="B355">
        <v>24687.200000000001</v>
      </c>
      <c r="C355">
        <v>29.495000000000001</v>
      </c>
      <c r="D355">
        <v>26.907399999999999</v>
      </c>
      <c r="E355">
        <v>739.46900000000005</v>
      </c>
      <c r="F355">
        <v>563.44399999999996</v>
      </c>
      <c r="G355">
        <f t="shared" si="19"/>
        <v>0.96543091233659883</v>
      </c>
      <c r="H355">
        <f t="shared" si="20"/>
        <v>0.73289385264795381</v>
      </c>
    </row>
    <row r="356" spans="1:8" x14ac:dyDescent="0.2">
      <c r="A356">
        <v>43242.2</v>
      </c>
      <c r="B356">
        <v>22584</v>
      </c>
      <c r="C356">
        <v>24.674600000000002</v>
      </c>
      <c r="D356">
        <v>33.770800000000001</v>
      </c>
      <c r="E356">
        <v>760.40099999999995</v>
      </c>
      <c r="F356">
        <v>560.96500000000003</v>
      </c>
      <c r="G356">
        <f t="shared" si="19"/>
        <v>0.93979238057589476</v>
      </c>
      <c r="H356">
        <f t="shared" si="20"/>
        <v>0.6763945426746466</v>
      </c>
    </row>
    <row r="357" spans="1:8" x14ac:dyDescent="0.2">
      <c r="A357">
        <v>32363.3</v>
      </c>
      <c r="B357">
        <v>21598.7</v>
      </c>
      <c r="C357">
        <v>31.677</v>
      </c>
      <c r="D357">
        <v>31.764900000000001</v>
      </c>
      <c r="E357">
        <v>645.85900000000004</v>
      </c>
      <c r="F357">
        <v>527.74699999999996</v>
      </c>
      <c r="G357">
        <f t="shared" si="19"/>
        <v>0.97496014925171015</v>
      </c>
      <c r="H357">
        <f t="shared" si="20"/>
        <v>0.73088125968638573</v>
      </c>
    </row>
    <row r="358" spans="1:8" x14ac:dyDescent="0.2">
      <c r="A358">
        <v>9680.75</v>
      </c>
      <c r="B358">
        <v>19664.5</v>
      </c>
      <c r="C358">
        <v>121.633</v>
      </c>
      <c r="D358">
        <v>25.816299999999998</v>
      </c>
      <c r="E358">
        <v>1316.12</v>
      </c>
      <c r="F358">
        <v>505.15499999999997</v>
      </c>
      <c r="G358">
        <f t="shared" si="19"/>
        <v>7.0230785277444946E-2</v>
      </c>
      <c r="H358">
        <f t="shared" si="20"/>
        <v>0.72628045490009785</v>
      </c>
    </row>
    <row r="359" spans="1:8" x14ac:dyDescent="0.2">
      <c r="A359">
        <v>14252.6</v>
      </c>
      <c r="B359">
        <v>18846.599999999999</v>
      </c>
      <c r="C359">
        <v>209.559</v>
      </c>
      <c r="D359">
        <v>32.675800000000002</v>
      </c>
      <c r="E359">
        <v>1300.81</v>
      </c>
      <c r="F359">
        <v>492.13600000000002</v>
      </c>
      <c r="G359">
        <f t="shared" si="19"/>
        <v>0.10584634360389597</v>
      </c>
      <c r="H359">
        <f t="shared" si="20"/>
        <v>0.73338750028268107</v>
      </c>
    </row>
    <row r="360" spans="1:8" x14ac:dyDescent="0.2">
      <c r="A360">
        <v>34111</v>
      </c>
      <c r="B360">
        <v>22454.7</v>
      </c>
      <c r="C360">
        <v>33.604100000000003</v>
      </c>
      <c r="D360">
        <v>24.328800000000001</v>
      </c>
      <c r="E360">
        <v>684.45600000000002</v>
      </c>
      <c r="F360">
        <v>536.64800000000002</v>
      </c>
      <c r="G360">
        <f t="shared" si="19"/>
        <v>0.91498269163856671</v>
      </c>
      <c r="H360">
        <f t="shared" si="20"/>
        <v>0.7348504888725983</v>
      </c>
    </row>
    <row r="361" spans="1:8" x14ac:dyDescent="0.2">
      <c r="A361">
        <v>10732.1</v>
      </c>
      <c r="B361">
        <v>22743.4</v>
      </c>
      <c r="C361">
        <v>225.881</v>
      </c>
      <c r="D361">
        <v>24.2227</v>
      </c>
      <c r="E361">
        <v>1200.6600000000001</v>
      </c>
      <c r="F361">
        <v>538.68899999999996</v>
      </c>
      <c r="G361">
        <f t="shared" si="19"/>
        <v>9.3552225471877151E-2</v>
      </c>
      <c r="H361">
        <f t="shared" si="20"/>
        <v>0.73866910584871337</v>
      </c>
    </row>
    <row r="362" spans="1:8" x14ac:dyDescent="0.2">
      <c r="A362">
        <v>12827.4</v>
      </c>
      <c r="B362">
        <v>23925.9</v>
      </c>
      <c r="C362">
        <v>322.95400000000001</v>
      </c>
      <c r="D362">
        <v>26.060099999999998</v>
      </c>
      <c r="E362">
        <v>1360.52</v>
      </c>
      <c r="F362">
        <v>555.726</v>
      </c>
      <c r="G362">
        <f t="shared" si="19"/>
        <v>8.7083980933098937E-2</v>
      </c>
      <c r="H362">
        <f t="shared" si="20"/>
        <v>0.73015928425535293</v>
      </c>
    </row>
    <row r="363" spans="1:8" x14ac:dyDescent="0.2">
      <c r="A363">
        <v>36925.199999999997</v>
      </c>
      <c r="B363">
        <v>22185.9</v>
      </c>
      <c r="C363">
        <v>26.736799999999999</v>
      </c>
      <c r="D363">
        <v>31.372399999999999</v>
      </c>
      <c r="E363">
        <v>695.67399999999998</v>
      </c>
      <c r="F363">
        <v>548.29399999999998</v>
      </c>
      <c r="G363">
        <f t="shared" si="19"/>
        <v>0.95878406765237423</v>
      </c>
      <c r="H363">
        <f t="shared" si="20"/>
        <v>0.69553794024130977</v>
      </c>
    </row>
    <row r="364" spans="1:8" x14ac:dyDescent="0.2">
      <c r="A364">
        <v>43330</v>
      </c>
      <c r="B364">
        <v>31953.200000000001</v>
      </c>
      <c r="C364">
        <v>36.200299999999999</v>
      </c>
      <c r="D364">
        <v>28.498899999999999</v>
      </c>
      <c r="E364">
        <v>818.327</v>
      </c>
      <c r="F364">
        <v>638.29300000000001</v>
      </c>
      <c r="G364">
        <f t="shared" si="19"/>
        <v>0.81310086868504949</v>
      </c>
      <c r="H364">
        <f t="shared" si="20"/>
        <v>0.7391710598880844</v>
      </c>
    </row>
    <row r="365" spans="1:8" x14ac:dyDescent="0.2">
      <c r="A365">
        <v>37746.400000000001</v>
      </c>
      <c r="B365">
        <v>19300.900000000001</v>
      </c>
      <c r="C365">
        <v>24.637899999999998</v>
      </c>
      <c r="D365">
        <v>30.654399999999999</v>
      </c>
      <c r="E365">
        <v>704.44200000000001</v>
      </c>
      <c r="F365">
        <v>500.49799999999999</v>
      </c>
      <c r="G365">
        <f t="shared" si="19"/>
        <v>0.95586058140266972</v>
      </c>
      <c r="H365">
        <f t="shared" si="20"/>
        <v>0.72617890441331667</v>
      </c>
    </row>
    <row r="366" spans="1:8" x14ac:dyDescent="0.2">
      <c r="A366">
        <v>11972.5</v>
      </c>
      <c r="B366">
        <v>21594.6</v>
      </c>
      <c r="C366">
        <v>348.36500000000001</v>
      </c>
      <c r="D366">
        <v>63.843600000000002</v>
      </c>
      <c r="E366">
        <v>1511.61</v>
      </c>
      <c r="F366">
        <v>626.10799999999995</v>
      </c>
      <c r="G366">
        <f t="shared" si="19"/>
        <v>6.5843791388018741E-2</v>
      </c>
      <c r="H366">
        <f t="shared" si="20"/>
        <v>0.51917935987395814</v>
      </c>
    </row>
    <row r="367" spans="1:8" x14ac:dyDescent="0.2">
      <c r="A367">
        <v>39273.1</v>
      </c>
      <c r="B367">
        <v>3486.29</v>
      </c>
      <c r="C367">
        <v>30.240300000000001</v>
      </c>
      <c r="D367">
        <v>63.055900000000001</v>
      </c>
      <c r="E367">
        <v>739.25400000000002</v>
      </c>
      <c r="F367">
        <v>921.13499999999999</v>
      </c>
      <c r="G367">
        <f t="shared" si="19"/>
        <v>0.90306147271482173</v>
      </c>
      <c r="H367">
        <f t="shared" si="20"/>
        <v>3.8724667912035889E-2</v>
      </c>
    </row>
    <row r="368" spans="1:8" x14ac:dyDescent="0.2">
      <c r="A368">
        <v>32256.1</v>
      </c>
      <c r="B368">
        <v>24834.3</v>
      </c>
      <c r="C368">
        <v>29.433499999999999</v>
      </c>
      <c r="D368">
        <v>28.477699999999999</v>
      </c>
      <c r="E368">
        <v>653.14800000000002</v>
      </c>
      <c r="F368">
        <v>588.18899999999996</v>
      </c>
      <c r="G368">
        <f t="shared" si="19"/>
        <v>0.95016308019339046</v>
      </c>
      <c r="H368">
        <f t="shared" si="20"/>
        <v>0.67653284669562519</v>
      </c>
    </row>
    <row r="369" spans="1:8" x14ac:dyDescent="0.2">
      <c r="A369">
        <v>26821.7</v>
      </c>
      <c r="B369">
        <v>30677.8</v>
      </c>
      <c r="C369">
        <v>33.680100000000003</v>
      </c>
      <c r="D369">
        <v>24.196200000000001</v>
      </c>
      <c r="E369">
        <v>593.32399999999996</v>
      </c>
      <c r="F369">
        <v>639.79300000000001</v>
      </c>
      <c r="G369">
        <f t="shared" si="19"/>
        <v>0.95744087838155667</v>
      </c>
      <c r="H369">
        <f t="shared" si="20"/>
        <v>0.70634358309487444</v>
      </c>
    </row>
    <row r="370" spans="1:8" x14ac:dyDescent="0.2">
      <c r="A370">
        <v>38048.800000000003</v>
      </c>
      <c r="B370">
        <v>20296.5</v>
      </c>
      <c r="C370">
        <v>34.376300000000001</v>
      </c>
      <c r="D370">
        <v>24.922699999999999</v>
      </c>
      <c r="E370">
        <v>709.39499999999998</v>
      </c>
      <c r="F370">
        <v>513.89099999999996</v>
      </c>
      <c r="G370">
        <f t="shared" si="19"/>
        <v>0.95011071358414256</v>
      </c>
      <c r="H370">
        <f t="shared" si="20"/>
        <v>0.72435237789980855</v>
      </c>
    </row>
    <row r="371" spans="1:8" x14ac:dyDescent="0.2">
      <c r="A371">
        <v>23940.5</v>
      </c>
      <c r="B371">
        <v>47466.3</v>
      </c>
      <c r="C371">
        <v>29.087499999999999</v>
      </c>
      <c r="D371">
        <v>34.329099999999997</v>
      </c>
      <c r="E371">
        <v>557.28399999999999</v>
      </c>
      <c r="F371">
        <v>852.39499999999998</v>
      </c>
      <c r="G371">
        <f t="shared" si="19"/>
        <v>0.96870059155752464</v>
      </c>
      <c r="H371">
        <f t="shared" si="20"/>
        <v>0.61570737159126643</v>
      </c>
    </row>
    <row r="372" spans="1:8" x14ac:dyDescent="0.2">
      <c r="A372">
        <v>32301.1</v>
      </c>
      <c r="B372">
        <v>33783.599999999999</v>
      </c>
      <c r="C372">
        <v>29.6051</v>
      </c>
      <c r="D372">
        <v>41.414400000000001</v>
      </c>
      <c r="E372">
        <v>645.46699999999998</v>
      </c>
      <c r="F372">
        <v>674.72199999999998</v>
      </c>
      <c r="G372">
        <f t="shared" si="19"/>
        <v>0.97426863737398939</v>
      </c>
      <c r="H372">
        <f t="shared" si="20"/>
        <v>0.69940212090069787</v>
      </c>
    </row>
    <row r="373" spans="1:8" x14ac:dyDescent="0.2">
      <c r="A373">
        <v>29794</v>
      </c>
      <c r="B373">
        <v>20784.3</v>
      </c>
      <c r="C373">
        <v>26.430800000000001</v>
      </c>
      <c r="D373">
        <v>24.510200000000001</v>
      </c>
      <c r="E373">
        <v>623.654</v>
      </c>
      <c r="F373">
        <v>514.45699999999999</v>
      </c>
      <c r="G373">
        <f t="shared" si="19"/>
        <v>0.9626111465370436</v>
      </c>
      <c r="H373">
        <f t="shared" si="20"/>
        <v>0.74012998844622901</v>
      </c>
    </row>
    <row r="374" spans="1:8" x14ac:dyDescent="0.2">
      <c r="A374">
        <v>25333.8</v>
      </c>
      <c r="B374">
        <v>24569.4</v>
      </c>
      <c r="C374">
        <v>26.352699999999999</v>
      </c>
      <c r="D374">
        <v>26.562999999999999</v>
      </c>
      <c r="E374">
        <v>572.28899999999999</v>
      </c>
      <c r="F374">
        <v>565.62199999999996</v>
      </c>
      <c r="G374">
        <f t="shared" si="19"/>
        <v>0.97202858813238524</v>
      </c>
      <c r="H374">
        <f t="shared" si="20"/>
        <v>0.72379024451054386</v>
      </c>
    </row>
    <row r="375" spans="1:8" x14ac:dyDescent="0.2">
      <c r="A375">
        <v>34313.599999999999</v>
      </c>
      <c r="B375">
        <v>27001.599999999999</v>
      </c>
      <c r="C375">
        <v>21.4316</v>
      </c>
      <c r="D375">
        <v>25.076699999999999</v>
      </c>
      <c r="E375">
        <v>664.67899999999997</v>
      </c>
      <c r="F375">
        <v>589.02300000000002</v>
      </c>
      <c r="G375">
        <f t="shared" si="19"/>
        <v>0.97600460302488357</v>
      </c>
      <c r="H375">
        <f t="shared" si="20"/>
        <v>0.73349262798942572</v>
      </c>
    </row>
    <row r="376" spans="1:8" x14ac:dyDescent="0.2">
      <c r="A376">
        <v>31728.2</v>
      </c>
      <c r="B376">
        <v>21768</v>
      </c>
      <c r="C376">
        <v>26.0426</v>
      </c>
      <c r="D376">
        <v>31.426500000000001</v>
      </c>
      <c r="E376">
        <v>643.63099999999997</v>
      </c>
      <c r="F376">
        <v>540.55100000000004</v>
      </c>
      <c r="G376">
        <f t="shared" si="19"/>
        <v>0.96245631157918066</v>
      </c>
      <c r="H376">
        <f t="shared" si="20"/>
        <v>0.7021274286802176</v>
      </c>
    </row>
    <row r="377" spans="1:8" x14ac:dyDescent="0.2">
      <c r="A377">
        <v>48268.4</v>
      </c>
      <c r="B377">
        <v>21867.8</v>
      </c>
      <c r="C377">
        <v>128.56399999999999</v>
      </c>
      <c r="D377">
        <v>25.863399999999999</v>
      </c>
      <c r="E377">
        <v>1454.44</v>
      </c>
      <c r="F377">
        <v>529.5</v>
      </c>
      <c r="G377">
        <f t="shared" si="19"/>
        <v>0.2867350477853402</v>
      </c>
      <c r="H377">
        <f t="shared" si="20"/>
        <v>0.73509577212988886</v>
      </c>
    </row>
    <row r="378" spans="1:8" x14ac:dyDescent="0.2">
      <c r="A378">
        <v>47853</v>
      </c>
      <c r="B378">
        <v>23222.6</v>
      </c>
      <c r="C378">
        <v>66.059399999999997</v>
      </c>
      <c r="D378">
        <v>34.531700000000001</v>
      </c>
      <c r="E378">
        <v>1158.04</v>
      </c>
      <c r="F378">
        <v>549.45500000000004</v>
      </c>
      <c r="G378">
        <f t="shared" si="19"/>
        <v>0.44840613470475799</v>
      </c>
      <c r="H378">
        <f t="shared" si="20"/>
        <v>0.72496550508899715</v>
      </c>
    </row>
    <row r="379" spans="1:8" x14ac:dyDescent="0.2">
      <c r="A379">
        <v>37004</v>
      </c>
      <c r="B379">
        <v>9537.48</v>
      </c>
      <c r="C379">
        <v>31.797000000000001</v>
      </c>
      <c r="D379">
        <v>240.74799999999999</v>
      </c>
      <c r="E379">
        <v>696.774</v>
      </c>
      <c r="F379">
        <v>1441.23</v>
      </c>
      <c r="G379">
        <f t="shared" si="19"/>
        <v>0.95779881659220423</v>
      </c>
      <c r="H379">
        <f t="shared" si="20"/>
        <v>4.3275073441638556E-2</v>
      </c>
    </row>
    <row r="380" spans="1:8" x14ac:dyDescent="0.2">
      <c r="A380">
        <v>40727.699999999997</v>
      </c>
      <c r="B380">
        <v>21760.7</v>
      </c>
      <c r="C380">
        <v>25.650600000000001</v>
      </c>
      <c r="D380">
        <v>30.830300000000001</v>
      </c>
      <c r="E380">
        <v>726.82100000000003</v>
      </c>
      <c r="F380">
        <v>531.46400000000006</v>
      </c>
      <c r="G380">
        <f t="shared" si="19"/>
        <v>0.9688230178883569</v>
      </c>
      <c r="H380">
        <f t="shared" si="20"/>
        <v>0.7260991335500997</v>
      </c>
    </row>
    <row r="381" spans="1:8" x14ac:dyDescent="0.2">
      <c r="A381">
        <v>5138.79</v>
      </c>
      <c r="B381">
        <v>23220</v>
      </c>
      <c r="C381">
        <v>74.395399999999995</v>
      </c>
      <c r="D381">
        <v>28.496099999999998</v>
      </c>
      <c r="E381">
        <v>1107.8499999999999</v>
      </c>
      <c r="F381">
        <v>551.28700000000003</v>
      </c>
      <c r="G381">
        <f t="shared" si="19"/>
        <v>5.2614862943776229E-2</v>
      </c>
      <c r="H381">
        <f t="shared" si="20"/>
        <v>0.7200745690032011</v>
      </c>
    </row>
    <row r="382" spans="1:8" x14ac:dyDescent="0.2">
      <c r="A382">
        <v>8168.73</v>
      </c>
      <c r="B382">
        <v>24065.8</v>
      </c>
      <c r="C382">
        <v>687.94299999999998</v>
      </c>
      <c r="D382">
        <v>22.973099999999999</v>
      </c>
      <c r="E382">
        <v>1036.32</v>
      </c>
      <c r="F382">
        <v>566.69899999999996</v>
      </c>
      <c r="G382">
        <f t="shared" si="19"/>
        <v>9.5582036476176482E-2</v>
      </c>
      <c r="H382">
        <f t="shared" si="20"/>
        <v>0.70626253867249877</v>
      </c>
    </row>
    <row r="383" spans="1:8" x14ac:dyDescent="0.2">
      <c r="A383">
        <v>4274.6000000000004</v>
      </c>
      <c r="B383">
        <v>24355.9</v>
      </c>
      <c r="C383">
        <v>70.909700000000001</v>
      </c>
      <c r="D383">
        <v>32.336399999999998</v>
      </c>
      <c r="E383">
        <v>958.83799999999997</v>
      </c>
      <c r="F383">
        <v>577.76700000000005</v>
      </c>
      <c r="G383">
        <f t="shared" si="19"/>
        <v>5.8427123279349527E-2</v>
      </c>
      <c r="H383">
        <f t="shared" si="20"/>
        <v>0.6876532139487832</v>
      </c>
    </row>
    <row r="384" spans="1:8" x14ac:dyDescent="0.2">
      <c r="A384">
        <v>37556</v>
      </c>
      <c r="B384">
        <v>28683.3</v>
      </c>
      <c r="C384">
        <v>21.9724</v>
      </c>
      <c r="D384">
        <v>27.142600000000002</v>
      </c>
      <c r="E384">
        <v>693.08199999999999</v>
      </c>
      <c r="F384">
        <v>612.82799999999997</v>
      </c>
      <c r="G384">
        <f t="shared" si="19"/>
        <v>0.98247065542861423</v>
      </c>
      <c r="H384">
        <f t="shared" si="20"/>
        <v>0.7198179559727319</v>
      </c>
    </row>
    <row r="385" spans="1:8" x14ac:dyDescent="0.2">
      <c r="A385">
        <v>41604.199999999997</v>
      </c>
      <c r="B385">
        <v>44494.9</v>
      </c>
      <c r="C385">
        <v>57.901699999999998</v>
      </c>
      <c r="D385">
        <v>44.901800000000001</v>
      </c>
      <c r="E385">
        <v>803.63699999999994</v>
      </c>
      <c r="F385">
        <v>828.18</v>
      </c>
      <c r="G385">
        <f t="shared" si="19"/>
        <v>0.80951858753521555</v>
      </c>
      <c r="H385">
        <f t="shared" si="20"/>
        <v>0.61140856583301106</v>
      </c>
    </row>
    <row r="386" spans="1:8" x14ac:dyDescent="0.2">
      <c r="A386">
        <v>30855.8</v>
      </c>
      <c r="B386">
        <v>19364.900000000001</v>
      </c>
      <c r="C386">
        <v>28.851800000000001</v>
      </c>
      <c r="D386">
        <v>29.375499999999999</v>
      </c>
      <c r="E386">
        <v>645.27700000000004</v>
      </c>
      <c r="F386">
        <v>504.4</v>
      </c>
      <c r="G386">
        <f t="shared" si="19"/>
        <v>0.93122352102729811</v>
      </c>
      <c r="H386">
        <f t="shared" si="20"/>
        <v>0.71735786369795129</v>
      </c>
    </row>
    <row r="387" spans="1:8" x14ac:dyDescent="0.2">
      <c r="A387">
        <v>40208.5</v>
      </c>
      <c r="B387">
        <v>24165</v>
      </c>
      <c r="C387">
        <v>32.124699999999997</v>
      </c>
      <c r="D387">
        <v>57.727200000000003</v>
      </c>
      <c r="E387">
        <v>730.67</v>
      </c>
      <c r="F387">
        <v>640.39599999999996</v>
      </c>
      <c r="G387">
        <f t="shared" ref="G387:G450" si="21" xml:space="preserve"> 3.14159*4*A387/(E387*E387)</f>
        <v>0.94642197641929349</v>
      </c>
      <c r="H387">
        <f t="shared" ref="H387:H450" si="22" xml:space="preserve"> 3*3.14159*B387/(F387*F387)</f>
        <v>0.55534176837883154</v>
      </c>
    </row>
    <row r="388" spans="1:8" x14ac:dyDescent="0.2">
      <c r="A388">
        <v>36237.9</v>
      </c>
      <c r="B388">
        <v>20544.400000000001</v>
      </c>
      <c r="C388">
        <v>37.052700000000002</v>
      </c>
      <c r="D388">
        <v>49.571300000000001</v>
      </c>
      <c r="E388">
        <v>700.47299999999996</v>
      </c>
      <c r="F388">
        <v>551.16399999999999</v>
      </c>
      <c r="G388">
        <f t="shared" si="21"/>
        <v>0.92808920149856899</v>
      </c>
      <c r="H388">
        <f t="shared" si="22"/>
        <v>0.63738602357566909</v>
      </c>
    </row>
    <row r="389" spans="1:8" x14ac:dyDescent="0.2">
      <c r="A389">
        <v>37807.800000000003</v>
      </c>
      <c r="B389">
        <v>18721.099999999999</v>
      </c>
      <c r="C389">
        <v>118.123</v>
      </c>
      <c r="D389">
        <v>32.394300000000001</v>
      </c>
      <c r="E389">
        <v>937.82</v>
      </c>
      <c r="F389">
        <v>496.18299999999999</v>
      </c>
      <c r="G389">
        <f t="shared" si="21"/>
        <v>0.54019669592098785</v>
      </c>
      <c r="H389">
        <f t="shared" si="22"/>
        <v>0.71666857643321835</v>
      </c>
    </row>
    <row r="390" spans="1:8" x14ac:dyDescent="0.2">
      <c r="A390">
        <v>47199.199999999997</v>
      </c>
      <c r="B390">
        <v>24000.6</v>
      </c>
      <c r="C390">
        <v>53.144799999999996</v>
      </c>
      <c r="D390">
        <v>22.4057</v>
      </c>
      <c r="E390">
        <v>1022.65</v>
      </c>
      <c r="F390">
        <v>553.58299999999997</v>
      </c>
      <c r="G390">
        <f t="shared" si="21"/>
        <v>0.56713975266262284</v>
      </c>
      <c r="H390">
        <f t="shared" si="22"/>
        <v>0.7381206741738674</v>
      </c>
    </row>
    <row r="391" spans="1:8" x14ac:dyDescent="0.2">
      <c r="A391">
        <v>8089.88</v>
      </c>
      <c r="B391">
        <v>21035.8</v>
      </c>
      <c r="C391">
        <v>257.113</v>
      </c>
      <c r="D391">
        <v>27.335000000000001</v>
      </c>
      <c r="E391">
        <v>1011.66</v>
      </c>
      <c r="F391">
        <v>519.99900000000002</v>
      </c>
      <c r="G391">
        <f t="shared" si="21"/>
        <v>9.9330453724510034E-2</v>
      </c>
      <c r="H391">
        <f t="shared" si="22"/>
        <v>0.733203917519752</v>
      </c>
    </row>
    <row r="392" spans="1:8" x14ac:dyDescent="0.2">
      <c r="A392">
        <v>39862.5</v>
      </c>
      <c r="B392">
        <v>17373.8</v>
      </c>
      <c r="C392">
        <v>24.678699999999999</v>
      </c>
      <c r="D392">
        <v>31.695499999999999</v>
      </c>
      <c r="E392">
        <v>716.25800000000004</v>
      </c>
      <c r="F392">
        <v>473.21</v>
      </c>
      <c r="G392">
        <f t="shared" si="21"/>
        <v>0.97641638372389028</v>
      </c>
      <c r="H392">
        <f t="shared" si="22"/>
        <v>0.73123631434579606</v>
      </c>
    </row>
    <row r="393" spans="1:8" x14ac:dyDescent="0.2">
      <c r="A393">
        <v>6936.91</v>
      </c>
      <c r="B393">
        <v>20691.8</v>
      </c>
      <c r="C393">
        <v>88.092100000000002</v>
      </c>
      <c r="D393">
        <v>27.241800000000001</v>
      </c>
      <c r="E393">
        <v>1229.33</v>
      </c>
      <c r="F393">
        <v>516.48699999999997</v>
      </c>
      <c r="G393">
        <f t="shared" si="21"/>
        <v>5.7681772457940067E-2</v>
      </c>
      <c r="H393">
        <f t="shared" si="22"/>
        <v>0.73105532192486211</v>
      </c>
    </row>
    <row r="394" spans="1:8" x14ac:dyDescent="0.2">
      <c r="A394">
        <v>46062.5</v>
      </c>
      <c r="B394">
        <v>37262.9</v>
      </c>
      <c r="C394">
        <v>32.224200000000003</v>
      </c>
      <c r="D394">
        <v>36.725000000000001</v>
      </c>
      <c r="E394">
        <v>803.60400000000004</v>
      </c>
      <c r="F394">
        <v>740.89</v>
      </c>
      <c r="G394">
        <f t="shared" si="21"/>
        <v>0.89634009311022855</v>
      </c>
      <c r="H394">
        <f t="shared" si="22"/>
        <v>0.63979367972515022</v>
      </c>
    </row>
    <row r="395" spans="1:8" x14ac:dyDescent="0.2">
      <c r="A395">
        <v>7276.85</v>
      </c>
      <c r="B395">
        <v>17782.400000000001</v>
      </c>
      <c r="C395">
        <v>204.30699999999999</v>
      </c>
      <c r="D395">
        <v>29.096</v>
      </c>
      <c r="E395">
        <v>1165.94</v>
      </c>
      <c r="F395">
        <v>483.40300000000002</v>
      </c>
      <c r="G395">
        <f t="shared" si="21"/>
        <v>6.7266760978610507E-2</v>
      </c>
      <c r="H395">
        <f t="shared" si="22"/>
        <v>0.71720358716273513</v>
      </c>
    </row>
    <row r="396" spans="1:8" x14ac:dyDescent="0.2">
      <c r="A396">
        <v>38087.800000000003</v>
      </c>
      <c r="B396">
        <v>16899.2</v>
      </c>
      <c r="C396">
        <v>36.344499999999996</v>
      </c>
      <c r="D396">
        <v>28.726299999999998</v>
      </c>
      <c r="E396">
        <v>700.74</v>
      </c>
      <c r="F396">
        <v>466.98</v>
      </c>
      <c r="G396">
        <f t="shared" si="21"/>
        <v>0.97472379346779203</v>
      </c>
      <c r="H396">
        <f t="shared" si="22"/>
        <v>0.7303656586180719</v>
      </c>
    </row>
    <row r="397" spans="1:8" x14ac:dyDescent="0.2">
      <c r="A397">
        <v>48594.6</v>
      </c>
      <c r="B397">
        <v>32293.200000000001</v>
      </c>
      <c r="C397">
        <v>46.0227</v>
      </c>
      <c r="D397">
        <v>32.423900000000003</v>
      </c>
      <c r="E397">
        <v>808.65599999999995</v>
      </c>
      <c r="F397">
        <v>670.10900000000004</v>
      </c>
      <c r="G397">
        <f t="shared" si="21"/>
        <v>0.9338344305229983</v>
      </c>
      <c r="H397">
        <f t="shared" si="22"/>
        <v>0.67778342050535989</v>
      </c>
    </row>
    <row r="398" spans="1:8" x14ac:dyDescent="0.2">
      <c r="A398">
        <v>4778.24</v>
      </c>
      <c r="B398">
        <v>16330.1</v>
      </c>
      <c r="C398">
        <v>130.411</v>
      </c>
      <c r="D398">
        <v>27.767499999999998</v>
      </c>
      <c r="E398">
        <v>1188.05</v>
      </c>
      <c r="F398">
        <v>460.452</v>
      </c>
      <c r="G398">
        <f t="shared" si="21"/>
        <v>4.2541031828856851E-2</v>
      </c>
      <c r="H398">
        <f t="shared" si="22"/>
        <v>0.72592353603352411</v>
      </c>
    </row>
    <row r="399" spans="1:8" x14ac:dyDescent="0.2">
      <c r="A399">
        <v>3428.51</v>
      </c>
      <c r="B399">
        <v>19586.599999999999</v>
      </c>
      <c r="C399">
        <v>142.43899999999999</v>
      </c>
      <c r="D399">
        <v>33.0441</v>
      </c>
      <c r="E399">
        <v>1264.7</v>
      </c>
      <c r="F399">
        <v>515.45699999999999</v>
      </c>
      <c r="G399">
        <f t="shared" si="21"/>
        <v>2.6936420342365621E-2</v>
      </c>
      <c r="H399">
        <f t="shared" si="22"/>
        <v>0.69477619709661842</v>
      </c>
    </row>
    <row r="400" spans="1:8" x14ac:dyDescent="0.2">
      <c r="A400">
        <v>40326.199999999997</v>
      </c>
      <c r="B400">
        <v>15999.8</v>
      </c>
      <c r="C400">
        <v>54.204700000000003</v>
      </c>
      <c r="D400">
        <v>42.898000000000003</v>
      </c>
      <c r="E400">
        <v>734.61</v>
      </c>
      <c r="F400">
        <v>523.08699999999999</v>
      </c>
      <c r="G400">
        <f t="shared" si="21"/>
        <v>0.93903790871840864</v>
      </c>
      <c r="H400">
        <f t="shared" si="22"/>
        <v>0.5511089458827515</v>
      </c>
    </row>
    <row r="401" spans="1:8" x14ac:dyDescent="0.2">
      <c r="A401">
        <v>30146.1</v>
      </c>
      <c r="B401">
        <v>27817.8</v>
      </c>
      <c r="C401">
        <v>35.496099999999998</v>
      </c>
      <c r="D401">
        <v>33.340899999999998</v>
      </c>
      <c r="E401">
        <v>624.97500000000002</v>
      </c>
      <c r="F401">
        <v>607.13900000000001</v>
      </c>
      <c r="G401">
        <f t="shared" si="21"/>
        <v>0.96987405607444732</v>
      </c>
      <c r="H401">
        <f t="shared" si="22"/>
        <v>0.71124181081639226</v>
      </c>
    </row>
    <row r="402" spans="1:8" x14ac:dyDescent="0.2">
      <c r="A402">
        <v>32198.9</v>
      </c>
      <c r="B402">
        <v>28011.5</v>
      </c>
      <c r="C402">
        <v>29.344100000000001</v>
      </c>
      <c r="D402">
        <v>49.174700000000001</v>
      </c>
      <c r="E402">
        <v>645.65300000000002</v>
      </c>
      <c r="F402">
        <v>617.64499999999998</v>
      </c>
      <c r="G402">
        <f t="shared" si="21"/>
        <v>0.97062659310582422</v>
      </c>
      <c r="H402">
        <f t="shared" si="22"/>
        <v>0.69203692253410709</v>
      </c>
    </row>
    <row r="403" spans="1:8" x14ac:dyDescent="0.2">
      <c r="A403">
        <v>33763.199999999997</v>
      </c>
      <c r="B403">
        <v>24393.5</v>
      </c>
      <c r="C403">
        <v>26.19</v>
      </c>
      <c r="D403">
        <v>39.735700000000001</v>
      </c>
      <c r="E403">
        <v>657.53499999999997</v>
      </c>
      <c r="F403">
        <v>574.23400000000004</v>
      </c>
      <c r="G403">
        <f t="shared" si="21"/>
        <v>0.98133061691388102</v>
      </c>
      <c r="H403">
        <f t="shared" si="22"/>
        <v>0.69721556170250154</v>
      </c>
    </row>
    <row r="404" spans="1:8" x14ac:dyDescent="0.2">
      <c r="A404">
        <v>36541.199999999997</v>
      </c>
      <c r="B404">
        <v>38466.400000000001</v>
      </c>
      <c r="C404">
        <v>43.621499999999997</v>
      </c>
      <c r="D404">
        <v>56.164900000000003</v>
      </c>
      <c r="E404">
        <v>731.077</v>
      </c>
      <c r="F404">
        <v>771.029</v>
      </c>
      <c r="G404">
        <f t="shared" si="21"/>
        <v>0.85914419585155022</v>
      </c>
      <c r="H404">
        <f t="shared" si="22"/>
        <v>0.60983293835013619</v>
      </c>
    </row>
    <row r="405" spans="1:8" x14ac:dyDescent="0.2">
      <c r="A405">
        <v>39822.300000000003</v>
      </c>
      <c r="B405">
        <v>16298.6</v>
      </c>
      <c r="C405">
        <v>26.689</v>
      </c>
      <c r="D405">
        <v>33.345700000000001</v>
      </c>
      <c r="E405">
        <v>716.78099999999995</v>
      </c>
      <c r="F405">
        <v>464.68400000000003</v>
      </c>
      <c r="G405">
        <f t="shared" si="21"/>
        <v>0.97400877021647403</v>
      </c>
      <c r="H405">
        <f t="shared" si="22"/>
        <v>0.71138650735377518</v>
      </c>
    </row>
    <row r="406" spans="1:8" x14ac:dyDescent="0.2">
      <c r="A406">
        <v>5524.69</v>
      </c>
      <c r="B406">
        <v>25857.4</v>
      </c>
      <c r="C406">
        <v>121.23699999999999</v>
      </c>
      <c r="D406">
        <v>33.573399999999999</v>
      </c>
      <c r="E406">
        <v>1258.26</v>
      </c>
      <c r="F406">
        <v>586.18499999999995</v>
      </c>
      <c r="G406">
        <f t="shared" si="21"/>
        <v>4.3850710039917681E-2</v>
      </c>
      <c r="H406">
        <f t="shared" si="22"/>
        <v>0.7092285541751695</v>
      </c>
    </row>
    <row r="407" spans="1:8" x14ac:dyDescent="0.2">
      <c r="A407">
        <v>31831.9</v>
      </c>
      <c r="B407">
        <v>17481</v>
      </c>
      <c r="C407">
        <v>24.318200000000001</v>
      </c>
      <c r="D407">
        <v>28.878499999999999</v>
      </c>
      <c r="E407">
        <v>640.02499999999998</v>
      </c>
      <c r="F407">
        <v>474.28199999999998</v>
      </c>
      <c r="G407">
        <f t="shared" si="21"/>
        <v>0.97651334435219694</v>
      </c>
      <c r="H407">
        <f t="shared" si="22"/>
        <v>0.73242599249330664</v>
      </c>
    </row>
    <row r="408" spans="1:8" x14ac:dyDescent="0.2">
      <c r="A408">
        <v>33304.9</v>
      </c>
      <c r="B408">
        <v>18341.3</v>
      </c>
      <c r="C408">
        <v>25.091799999999999</v>
      </c>
      <c r="D408">
        <v>33.243099999999998</v>
      </c>
      <c r="E408">
        <v>654.40899999999999</v>
      </c>
      <c r="F408">
        <v>494.64299999999997</v>
      </c>
      <c r="G408">
        <f t="shared" si="21"/>
        <v>0.97728020961407003</v>
      </c>
      <c r="H408">
        <f t="shared" si="22"/>
        <v>0.70650809146829052</v>
      </c>
    </row>
    <row r="409" spans="1:8" x14ac:dyDescent="0.2">
      <c r="A409">
        <v>34674.199999999997</v>
      </c>
      <c r="B409">
        <v>29520.799999999999</v>
      </c>
      <c r="C409">
        <v>24.673500000000001</v>
      </c>
      <c r="D409">
        <v>39.9251</v>
      </c>
      <c r="E409">
        <v>667.96100000000001</v>
      </c>
      <c r="F409">
        <v>639.68799999999999</v>
      </c>
      <c r="G409">
        <f t="shared" si="21"/>
        <v>0.9765932868765933</v>
      </c>
      <c r="H409">
        <f t="shared" si="22"/>
        <v>0.67992729441761734</v>
      </c>
    </row>
    <row r="410" spans="1:8" x14ac:dyDescent="0.2">
      <c r="A410">
        <v>36535.800000000003</v>
      </c>
      <c r="B410">
        <v>19160.900000000001</v>
      </c>
      <c r="C410">
        <v>28.322399999999998</v>
      </c>
      <c r="D410">
        <v>40.525300000000001</v>
      </c>
      <c r="E410">
        <v>701.39</v>
      </c>
      <c r="F410">
        <v>528.55399999999997</v>
      </c>
      <c r="G410">
        <f t="shared" si="21"/>
        <v>0.93327359610624949</v>
      </c>
      <c r="H410">
        <f t="shared" si="22"/>
        <v>0.64640980776554335</v>
      </c>
    </row>
    <row r="411" spans="1:8" x14ac:dyDescent="0.2">
      <c r="A411">
        <v>33716.5</v>
      </c>
      <c r="B411">
        <v>26486.799999999999</v>
      </c>
      <c r="C411">
        <v>21.006699999999999</v>
      </c>
      <c r="D411">
        <v>30.009499999999999</v>
      </c>
      <c r="E411">
        <v>656.74699999999996</v>
      </c>
      <c r="F411">
        <v>593.07100000000003</v>
      </c>
      <c r="G411">
        <f t="shared" si="21"/>
        <v>0.98232633596754615</v>
      </c>
      <c r="H411">
        <f t="shared" si="22"/>
        <v>0.70971972563290708</v>
      </c>
    </row>
    <row r="412" spans="1:8" x14ac:dyDescent="0.2">
      <c r="A412">
        <v>37747.300000000003</v>
      </c>
      <c r="B412">
        <v>17453.400000000001</v>
      </c>
      <c r="C412">
        <v>34.624000000000002</v>
      </c>
      <c r="D412">
        <v>32.862900000000003</v>
      </c>
      <c r="E412">
        <v>697.89300000000003</v>
      </c>
      <c r="F412">
        <v>494.6</v>
      </c>
      <c r="G412">
        <f t="shared" si="21"/>
        <v>0.97390748882840528</v>
      </c>
      <c r="H412">
        <f t="shared" si="22"/>
        <v>0.67242302887358141</v>
      </c>
    </row>
    <row r="413" spans="1:8" x14ac:dyDescent="0.2">
      <c r="A413">
        <v>40192.400000000001</v>
      </c>
      <c r="B413">
        <v>29903.599999999999</v>
      </c>
      <c r="C413">
        <v>24.342400000000001</v>
      </c>
      <c r="D413">
        <v>29.261600000000001</v>
      </c>
      <c r="E413">
        <v>726.34100000000001</v>
      </c>
      <c r="F413">
        <v>626.46500000000003</v>
      </c>
      <c r="G413">
        <f t="shared" si="21"/>
        <v>0.95735347464383358</v>
      </c>
      <c r="H413">
        <f t="shared" si="22"/>
        <v>0.71812593355862764</v>
      </c>
    </row>
    <row r="414" spans="1:8" x14ac:dyDescent="0.2">
      <c r="A414">
        <v>4448.76</v>
      </c>
      <c r="B414">
        <v>17414.599999999999</v>
      </c>
      <c r="C414">
        <v>89.222200000000001</v>
      </c>
      <c r="D414">
        <v>33.568300000000001</v>
      </c>
      <c r="E414">
        <v>1185.97</v>
      </c>
      <c r="F414">
        <v>507.34100000000001</v>
      </c>
      <c r="G414">
        <f t="shared" si="21"/>
        <v>3.9746699160910642E-2</v>
      </c>
      <c r="H414">
        <f t="shared" si="22"/>
        <v>0.63765290547461717</v>
      </c>
    </row>
    <row r="415" spans="1:8" x14ac:dyDescent="0.2">
      <c r="A415">
        <v>37229.9</v>
      </c>
      <c r="B415">
        <v>17064.400000000001</v>
      </c>
      <c r="C415">
        <v>18.9816</v>
      </c>
      <c r="D415">
        <v>31.895800000000001</v>
      </c>
      <c r="E415">
        <v>687.47699999999998</v>
      </c>
      <c r="F415">
        <v>475.65800000000002</v>
      </c>
      <c r="G415">
        <f t="shared" si="21"/>
        <v>0.98988563204964319</v>
      </c>
      <c r="H415">
        <f t="shared" si="22"/>
        <v>0.71084051419048033</v>
      </c>
    </row>
    <row r="416" spans="1:8" x14ac:dyDescent="0.2">
      <c r="A416">
        <v>40209</v>
      </c>
      <c r="B416">
        <v>23934.9</v>
      </c>
      <c r="C416">
        <v>23.8553</v>
      </c>
      <c r="D416">
        <v>36.311700000000002</v>
      </c>
      <c r="E416">
        <v>719.84299999999996</v>
      </c>
      <c r="F416">
        <v>564.46699999999998</v>
      </c>
      <c r="G416">
        <f t="shared" si="21"/>
        <v>0.97511805535159912</v>
      </c>
      <c r="H416">
        <f t="shared" si="22"/>
        <v>0.70798696785200999</v>
      </c>
    </row>
    <row r="417" spans="1:8" x14ac:dyDescent="0.2">
      <c r="A417">
        <v>34410.800000000003</v>
      </c>
      <c r="B417">
        <v>26417</v>
      </c>
      <c r="C417">
        <v>24.040500000000002</v>
      </c>
      <c r="D417">
        <v>40.677199999999999</v>
      </c>
      <c r="E417">
        <v>665.42399999999998</v>
      </c>
      <c r="F417">
        <v>620.91499999999996</v>
      </c>
      <c r="G417">
        <f t="shared" si="21"/>
        <v>0.97657891964087129</v>
      </c>
      <c r="H417">
        <f t="shared" si="22"/>
        <v>0.64578797446497171</v>
      </c>
    </row>
    <row r="418" spans="1:8" x14ac:dyDescent="0.2">
      <c r="A418">
        <v>40170.300000000003</v>
      </c>
      <c r="B418">
        <v>15645.1</v>
      </c>
      <c r="C418">
        <v>53.1297</v>
      </c>
      <c r="D418">
        <v>30.284199999999998</v>
      </c>
      <c r="E418">
        <v>1127.93</v>
      </c>
      <c r="F418">
        <v>450.45800000000003</v>
      </c>
      <c r="G418">
        <f t="shared" si="21"/>
        <v>0.39678045993505784</v>
      </c>
      <c r="H418">
        <f t="shared" si="22"/>
        <v>0.72667546207989642</v>
      </c>
    </row>
    <row r="419" spans="1:8" x14ac:dyDescent="0.2">
      <c r="A419">
        <v>30976.799999999999</v>
      </c>
      <c r="B419">
        <v>19086</v>
      </c>
      <c r="C419">
        <v>24.476400000000002</v>
      </c>
      <c r="D419">
        <v>25</v>
      </c>
      <c r="E419">
        <v>638.60699999999997</v>
      </c>
      <c r="F419">
        <v>495.30200000000002</v>
      </c>
      <c r="G419">
        <f t="shared" si="21"/>
        <v>0.95450608105565193</v>
      </c>
      <c r="H419">
        <f t="shared" si="22"/>
        <v>0.73323893304550303</v>
      </c>
    </row>
    <row r="420" spans="1:8" x14ac:dyDescent="0.2">
      <c r="A420">
        <v>46393.4</v>
      </c>
      <c r="B420">
        <v>39401.300000000003</v>
      </c>
      <c r="C420">
        <v>43.8339</v>
      </c>
      <c r="D420">
        <v>52.919699999999999</v>
      </c>
      <c r="E420">
        <v>854.79899999999998</v>
      </c>
      <c r="F420">
        <v>756.61800000000005</v>
      </c>
      <c r="G420">
        <f t="shared" si="21"/>
        <v>0.79788019998273407</v>
      </c>
      <c r="H420">
        <f t="shared" si="22"/>
        <v>0.64867621466047132</v>
      </c>
    </row>
    <row r="421" spans="1:8" x14ac:dyDescent="0.2">
      <c r="A421">
        <v>46166.6</v>
      </c>
      <c r="B421">
        <v>22450.3</v>
      </c>
      <c r="C421">
        <v>40.651200000000003</v>
      </c>
      <c r="D421">
        <v>29.004100000000001</v>
      </c>
      <c r="E421">
        <v>851.56200000000001</v>
      </c>
      <c r="F421">
        <v>544.995</v>
      </c>
      <c r="G421">
        <f t="shared" si="21"/>
        <v>0.80002736466422841</v>
      </c>
      <c r="H421">
        <f t="shared" si="22"/>
        <v>0.71237369362787939</v>
      </c>
    </row>
    <row r="422" spans="1:8" x14ac:dyDescent="0.2">
      <c r="A422">
        <v>23609</v>
      </c>
      <c r="B422">
        <v>16165</v>
      </c>
      <c r="C422">
        <v>140.32400000000001</v>
      </c>
      <c r="D422">
        <v>153.01499999999999</v>
      </c>
      <c r="E422">
        <v>826.32500000000005</v>
      </c>
      <c r="F422">
        <v>1205.2</v>
      </c>
      <c r="G422">
        <f t="shared" si="21"/>
        <v>0.43449552190125645</v>
      </c>
      <c r="H422">
        <f t="shared" si="22"/>
        <v>0.10488858425773963</v>
      </c>
    </row>
    <row r="423" spans="1:8" x14ac:dyDescent="0.2">
      <c r="A423">
        <v>17345.7</v>
      </c>
      <c r="B423">
        <v>27004.3</v>
      </c>
      <c r="C423">
        <v>184.04400000000001</v>
      </c>
      <c r="D423">
        <v>25.275700000000001</v>
      </c>
      <c r="E423">
        <v>1302.6600000000001</v>
      </c>
      <c r="F423">
        <v>611.44600000000003</v>
      </c>
      <c r="G423">
        <f t="shared" si="21"/>
        <v>0.12845149776452247</v>
      </c>
      <c r="H423">
        <f t="shared" si="22"/>
        <v>0.68074971495132763</v>
      </c>
    </row>
    <row r="424" spans="1:8" x14ac:dyDescent="0.2">
      <c r="A424">
        <v>34293.800000000003</v>
      </c>
      <c r="B424">
        <v>30139.9</v>
      </c>
      <c r="C424">
        <v>26.015599999999999</v>
      </c>
      <c r="D424">
        <v>32.766399999999997</v>
      </c>
      <c r="E424">
        <v>667.16</v>
      </c>
      <c r="F424">
        <v>656.93700000000001</v>
      </c>
      <c r="G424">
        <f t="shared" si="21"/>
        <v>0.9682000659939729</v>
      </c>
      <c r="H424">
        <f t="shared" si="22"/>
        <v>0.6582109786696988</v>
      </c>
    </row>
    <row r="425" spans="1:8" x14ac:dyDescent="0.2">
      <c r="A425">
        <v>32399.8</v>
      </c>
      <c r="B425">
        <v>44134.5</v>
      </c>
      <c r="C425">
        <v>25.097899999999999</v>
      </c>
      <c r="D425">
        <v>50.3902</v>
      </c>
      <c r="E425">
        <v>652.40700000000004</v>
      </c>
      <c r="F425">
        <v>811.60599999999999</v>
      </c>
      <c r="G425">
        <f t="shared" si="21"/>
        <v>0.95656525534712</v>
      </c>
      <c r="H425">
        <f t="shared" si="22"/>
        <v>0.63147836145513159</v>
      </c>
    </row>
    <row r="426" spans="1:8" x14ac:dyDescent="0.2">
      <c r="A426">
        <v>37194.300000000003</v>
      </c>
      <c r="B426">
        <v>26656.799999999999</v>
      </c>
      <c r="C426">
        <v>34.036900000000003</v>
      </c>
      <c r="D426">
        <v>40.203899999999997</v>
      </c>
      <c r="E426">
        <v>696.72699999999998</v>
      </c>
      <c r="F426">
        <v>603.005</v>
      </c>
      <c r="G426">
        <f t="shared" si="21"/>
        <v>0.96285436822188586</v>
      </c>
      <c r="H426">
        <f t="shared" si="22"/>
        <v>0.69093460993272637</v>
      </c>
    </row>
    <row r="427" spans="1:8" x14ac:dyDescent="0.2">
      <c r="A427">
        <v>39986.800000000003</v>
      </c>
      <c r="B427">
        <v>17610.099999999999</v>
      </c>
      <c r="C427">
        <v>39.4527</v>
      </c>
      <c r="D427">
        <v>27.9145</v>
      </c>
      <c r="E427">
        <v>743.82299999999998</v>
      </c>
      <c r="F427">
        <v>483.56900000000002</v>
      </c>
      <c r="G427">
        <f t="shared" si="21"/>
        <v>0.90821138404029467</v>
      </c>
      <c r="H427">
        <f t="shared" si="22"/>
        <v>0.70976679664856479</v>
      </c>
    </row>
    <row r="428" spans="1:8" x14ac:dyDescent="0.2">
      <c r="A428">
        <v>37080.6</v>
      </c>
      <c r="B428">
        <v>19188</v>
      </c>
      <c r="C428">
        <v>32.447000000000003</v>
      </c>
      <c r="D428">
        <v>23.718599999999999</v>
      </c>
      <c r="E428">
        <v>696.37</v>
      </c>
      <c r="F428">
        <v>498.298</v>
      </c>
      <c r="G428">
        <f t="shared" si="21"/>
        <v>0.96089546478487087</v>
      </c>
      <c r="H428">
        <f t="shared" si="22"/>
        <v>0.72831990978570926</v>
      </c>
    </row>
    <row r="429" spans="1:8" x14ac:dyDescent="0.2">
      <c r="A429">
        <v>35118.5</v>
      </c>
      <c r="B429">
        <v>17844.5</v>
      </c>
      <c r="C429">
        <v>35.368200000000002</v>
      </c>
      <c r="D429">
        <v>25.758600000000001</v>
      </c>
      <c r="E429">
        <v>683.923</v>
      </c>
      <c r="F429">
        <v>482.94200000000001</v>
      </c>
      <c r="G429">
        <f t="shared" si="21"/>
        <v>0.94347639037478404</v>
      </c>
      <c r="H429">
        <f t="shared" si="22"/>
        <v>0.72108289148447291</v>
      </c>
    </row>
    <row r="430" spans="1:8" x14ac:dyDescent="0.2">
      <c r="A430">
        <v>31990</v>
      </c>
      <c r="B430">
        <v>19780.5</v>
      </c>
      <c r="C430">
        <v>29.742999999999999</v>
      </c>
      <c r="D430">
        <v>37.235199999999999</v>
      </c>
      <c r="E430">
        <v>641.07600000000002</v>
      </c>
      <c r="F430">
        <v>518.24099999999999</v>
      </c>
      <c r="G430">
        <f t="shared" si="21"/>
        <v>0.97814829063880282</v>
      </c>
      <c r="H430">
        <f t="shared" si="22"/>
        <v>0.69413587156209022</v>
      </c>
    </row>
    <row r="431" spans="1:8" x14ac:dyDescent="0.2">
      <c r="A431">
        <v>32019.599999999999</v>
      </c>
      <c r="B431">
        <v>37436</v>
      </c>
      <c r="C431">
        <v>32.9756</v>
      </c>
      <c r="D431">
        <v>60.091700000000003</v>
      </c>
      <c r="E431">
        <v>661.14700000000005</v>
      </c>
      <c r="F431">
        <v>725.80100000000004</v>
      </c>
      <c r="G431">
        <f t="shared" si="21"/>
        <v>0.920511749342249</v>
      </c>
      <c r="H431">
        <f t="shared" si="22"/>
        <v>0.66976904966995243</v>
      </c>
    </row>
    <row r="432" spans="1:8" x14ac:dyDescent="0.2">
      <c r="A432">
        <v>36860.400000000001</v>
      </c>
      <c r="B432">
        <v>23824.799999999999</v>
      </c>
      <c r="C432">
        <v>28.555700000000002</v>
      </c>
      <c r="D432">
        <v>30.9709</v>
      </c>
      <c r="E432">
        <v>691.77</v>
      </c>
      <c r="F432">
        <v>583.13499999999999</v>
      </c>
      <c r="G432">
        <f t="shared" si="21"/>
        <v>0.96793477467031019</v>
      </c>
      <c r="H432">
        <f t="shared" si="22"/>
        <v>0.66033118320956297</v>
      </c>
    </row>
    <row r="433" spans="1:8" x14ac:dyDescent="0.2">
      <c r="A433">
        <v>30363.7</v>
      </c>
      <c r="B433">
        <v>21957.8</v>
      </c>
      <c r="C433">
        <v>23.5563</v>
      </c>
      <c r="D433">
        <v>35.5411</v>
      </c>
      <c r="E433">
        <v>623.51700000000005</v>
      </c>
      <c r="F433">
        <v>556.6</v>
      </c>
      <c r="G433">
        <f t="shared" si="21"/>
        <v>0.98144867101858413</v>
      </c>
      <c r="H433">
        <f t="shared" si="22"/>
        <v>0.66799495366031292</v>
      </c>
    </row>
    <row r="434" spans="1:8" x14ac:dyDescent="0.2">
      <c r="A434">
        <v>29838.2</v>
      </c>
      <c r="B434">
        <v>24355.599999999999</v>
      </c>
      <c r="C434">
        <v>28.874600000000001</v>
      </c>
      <c r="D434">
        <v>30.504300000000001</v>
      </c>
      <c r="E434">
        <v>622.47699999999998</v>
      </c>
      <c r="F434">
        <v>569.91899999999998</v>
      </c>
      <c r="G434">
        <f t="shared" si="21"/>
        <v>0.96768832036940489</v>
      </c>
      <c r="H434">
        <f t="shared" si="22"/>
        <v>0.70671339332099925</v>
      </c>
    </row>
    <row r="435" spans="1:8" x14ac:dyDescent="0.2">
      <c r="A435">
        <v>30028.400000000001</v>
      </c>
      <c r="B435">
        <v>18316.3</v>
      </c>
      <c r="C435">
        <v>35.534199999999998</v>
      </c>
      <c r="D435">
        <v>28.6523</v>
      </c>
      <c r="E435">
        <v>634.10900000000004</v>
      </c>
      <c r="F435">
        <v>485.149</v>
      </c>
      <c r="G435">
        <f t="shared" si="21"/>
        <v>0.93845586982536755</v>
      </c>
      <c r="H435">
        <f t="shared" si="22"/>
        <v>0.73342925258055758</v>
      </c>
    </row>
    <row r="436" spans="1:8" x14ac:dyDescent="0.2">
      <c r="A436">
        <v>27379.200000000001</v>
      </c>
      <c r="B436">
        <v>22957.599999999999</v>
      </c>
      <c r="C436">
        <v>24.046500000000002</v>
      </c>
      <c r="D436">
        <v>30.8215</v>
      </c>
      <c r="E436">
        <v>589.96699999999998</v>
      </c>
      <c r="F436">
        <v>568.53700000000003</v>
      </c>
      <c r="G436">
        <f t="shared" si="21"/>
        <v>0.98849576173654163</v>
      </c>
      <c r="H436">
        <f t="shared" si="22"/>
        <v>0.66939086018153859</v>
      </c>
    </row>
    <row r="437" spans="1:8" x14ac:dyDescent="0.2">
      <c r="A437">
        <v>31835.9</v>
      </c>
      <c r="B437">
        <v>32051.200000000001</v>
      </c>
      <c r="C437">
        <v>34.552799999999998</v>
      </c>
      <c r="D437">
        <v>32.849299999999999</v>
      </c>
      <c r="E437">
        <v>646.35799999999995</v>
      </c>
      <c r="F437">
        <v>652.11099999999999</v>
      </c>
      <c r="G437">
        <f t="shared" si="21"/>
        <v>0.95759169780617381</v>
      </c>
      <c r="H437">
        <f t="shared" si="22"/>
        <v>0.71034937488677297</v>
      </c>
    </row>
    <row r="438" spans="1:8" x14ac:dyDescent="0.2">
      <c r="A438">
        <v>28507.200000000001</v>
      </c>
      <c r="B438">
        <v>19042.2</v>
      </c>
      <c r="C438">
        <v>31.4679</v>
      </c>
      <c r="D438">
        <v>30.7592</v>
      </c>
      <c r="E438">
        <v>608.98599999999999</v>
      </c>
      <c r="F438">
        <v>503.17500000000001</v>
      </c>
      <c r="G438">
        <f t="shared" si="21"/>
        <v>0.96593842441292255</v>
      </c>
      <c r="H438">
        <f t="shared" si="22"/>
        <v>0.70884253863210811</v>
      </c>
    </row>
    <row r="439" spans="1:8" x14ac:dyDescent="0.2">
      <c r="A439">
        <v>30281.7</v>
      </c>
      <c r="B439">
        <v>10624.6</v>
      </c>
      <c r="C439">
        <v>22.662400000000002</v>
      </c>
      <c r="D439">
        <v>74.36</v>
      </c>
      <c r="E439">
        <v>623.89499999999998</v>
      </c>
      <c r="F439">
        <v>1237.53</v>
      </c>
      <c r="G439">
        <f t="shared" si="21"/>
        <v>0.97761248555105862</v>
      </c>
      <c r="H439">
        <f t="shared" si="22"/>
        <v>6.5384058943717765E-2</v>
      </c>
    </row>
    <row r="440" spans="1:8" x14ac:dyDescent="0.2">
      <c r="A440">
        <v>38704.699999999997</v>
      </c>
      <c r="B440">
        <v>22968.9</v>
      </c>
      <c r="C440">
        <v>26.653199999999998</v>
      </c>
      <c r="D440">
        <v>29.928699999999999</v>
      </c>
      <c r="E440">
        <v>704.89800000000002</v>
      </c>
      <c r="F440">
        <v>567.42700000000002</v>
      </c>
      <c r="G440">
        <f t="shared" si="21"/>
        <v>0.9788601446082924</v>
      </c>
      <c r="H440">
        <f t="shared" si="22"/>
        <v>0.67234311726310025</v>
      </c>
    </row>
    <row r="441" spans="1:8" x14ac:dyDescent="0.2">
      <c r="A441">
        <v>37103.9</v>
      </c>
      <c r="B441">
        <v>32346.6</v>
      </c>
      <c r="C441">
        <v>32.695300000000003</v>
      </c>
      <c r="D441">
        <v>36.296900000000001</v>
      </c>
      <c r="E441">
        <v>692.80499999999995</v>
      </c>
      <c r="F441">
        <v>657.072</v>
      </c>
      <c r="G441">
        <f t="shared" si="21"/>
        <v>0.97141997910148092</v>
      </c>
      <c r="H441">
        <f t="shared" si="22"/>
        <v>0.70611181259576705</v>
      </c>
    </row>
    <row r="442" spans="1:8" x14ac:dyDescent="0.2">
      <c r="A442">
        <v>25115.8</v>
      </c>
      <c r="B442">
        <v>19309.5</v>
      </c>
      <c r="C442">
        <v>27.3184</v>
      </c>
      <c r="D442">
        <v>31.5198</v>
      </c>
      <c r="E442">
        <v>568.25</v>
      </c>
      <c r="F442">
        <v>510.387</v>
      </c>
      <c r="G442">
        <f t="shared" si="21"/>
        <v>0.97741190493811225</v>
      </c>
      <c r="H442">
        <f t="shared" si="22"/>
        <v>0.69862251991346846</v>
      </c>
    </row>
    <row r="443" spans="1:8" x14ac:dyDescent="0.2">
      <c r="A443">
        <v>38956.9</v>
      </c>
      <c r="B443">
        <v>16871.599999999999</v>
      </c>
      <c r="C443">
        <v>30.929200000000002</v>
      </c>
      <c r="D443">
        <v>27.591000000000001</v>
      </c>
      <c r="E443">
        <v>862.69500000000005</v>
      </c>
      <c r="F443">
        <v>468.83100000000002</v>
      </c>
      <c r="G443">
        <f t="shared" si="21"/>
        <v>0.65777797243471847</v>
      </c>
      <c r="H443">
        <f t="shared" si="22"/>
        <v>0.72342646141694911</v>
      </c>
    </row>
    <row r="444" spans="1:8" x14ac:dyDescent="0.2">
      <c r="A444">
        <v>29040.400000000001</v>
      </c>
      <c r="B444">
        <v>18182</v>
      </c>
      <c r="C444">
        <v>27.562100000000001</v>
      </c>
      <c r="D444">
        <v>30.139600000000002</v>
      </c>
      <c r="E444">
        <v>612.19600000000003</v>
      </c>
      <c r="F444">
        <v>489.488</v>
      </c>
      <c r="G444">
        <f t="shared" si="21"/>
        <v>0.97371333091676393</v>
      </c>
      <c r="H444">
        <f t="shared" si="22"/>
        <v>0.71520133309101819</v>
      </c>
    </row>
    <row r="445" spans="1:8" x14ac:dyDescent="0.2">
      <c r="A445">
        <v>30101.5</v>
      </c>
      <c r="B445">
        <v>22993.5</v>
      </c>
      <c r="C445">
        <v>25.094999999999999</v>
      </c>
      <c r="D445">
        <v>36.7605</v>
      </c>
      <c r="E445">
        <v>624.81799999999998</v>
      </c>
      <c r="F445">
        <v>570.94100000000003</v>
      </c>
      <c r="G445">
        <f t="shared" si="21"/>
        <v>0.96892591127068739</v>
      </c>
      <c r="H445">
        <f t="shared" si="22"/>
        <v>0.66480362843843399</v>
      </c>
    </row>
    <row r="446" spans="1:8" x14ac:dyDescent="0.2">
      <c r="A446">
        <v>30406.2</v>
      </c>
      <c r="B446">
        <v>43180.4</v>
      </c>
      <c r="C446">
        <v>29.122199999999999</v>
      </c>
      <c r="D446">
        <v>61.1843</v>
      </c>
      <c r="E446">
        <v>630.91399999999999</v>
      </c>
      <c r="F446">
        <v>803.56100000000004</v>
      </c>
      <c r="G446">
        <f t="shared" si="21"/>
        <v>0.95991176804484124</v>
      </c>
      <c r="H446">
        <f t="shared" si="22"/>
        <v>0.63025996435054821</v>
      </c>
    </row>
    <row r="447" spans="1:8" x14ac:dyDescent="0.2">
      <c r="A447">
        <v>26535.200000000001</v>
      </c>
      <c r="B447">
        <v>16550.2</v>
      </c>
      <c r="C447">
        <v>40.543999999999997</v>
      </c>
      <c r="D447">
        <v>31.819500000000001</v>
      </c>
      <c r="E447">
        <v>622.82899999999995</v>
      </c>
      <c r="F447">
        <v>464.90499999999997</v>
      </c>
      <c r="G447">
        <f t="shared" si="21"/>
        <v>0.85959565336278132</v>
      </c>
      <c r="H447">
        <f t="shared" si="22"/>
        <v>0.72168150075808268</v>
      </c>
    </row>
    <row r="448" spans="1:8" x14ac:dyDescent="0.2">
      <c r="A448">
        <v>32365.9</v>
      </c>
      <c r="B448">
        <v>19678.900000000001</v>
      </c>
      <c r="C448">
        <v>25.3657</v>
      </c>
      <c r="D448">
        <v>35.267600000000002</v>
      </c>
      <c r="E448">
        <v>650.63599999999997</v>
      </c>
      <c r="F448">
        <v>511.36500000000001</v>
      </c>
      <c r="G448">
        <f t="shared" si="21"/>
        <v>0.96077347924811463</v>
      </c>
      <c r="H448">
        <f t="shared" si="22"/>
        <v>0.70926671580587053</v>
      </c>
    </row>
    <row r="449" spans="1:8" x14ac:dyDescent="0.2">
      <c r="A449">
        <v>3294.6</v>
      </c>
      <c r="B449">
        <v>15857</v>
      </c>
      <c r="C449">
        <v>48.384700000000002</v>
      </c>
      <c r="D449">
        <v>34.185600000000001</v>
      </c>
      <c r="E449">
        <v>1010.79</v>
      </c>
      <c r="F449">
        <v>452.95299999999997</v>
      </c>
      <c r="G449">
        <f t="shared" si="21"/>
        <v>4.0521948280742737E-2</v>
      </c>
      <c r="H449">
        <f t="shared" si="22"/>
        <v>0.72842611250787992</v>
      </c>
    </row>
    <row r="450" spans="1:8" x14ac:dyDescent="0.2">
      <c r="A450">
        <v>30933.3</v>
      </c>
      <c r="B450">
        <v>34496.800000000003</v>
      </c>
      <c r="C450">
        <v>20.7974</v>
      </c>
      <c r="D450">
        <v>29.975000000000001</v>
      </c>
      <c r="E450">
        <v>632.04899999999998</v>
      </c>
      <c r="F450">
        <v>675.11900000000003</v>
      </c>
      <c r="G450">
        <f t="shared" si="21"/>
        <v>0.97304797596607195</v>
      </c>
      <c r="H450">
        <f t="shared" si="22"/>
        <v>0.71332740650033744</v>
      </c>
    </row>
    <row r="451" spans="1:8" x14ac:dyDescent="0.2">
      <c r="A451">
        <v>30506.799999999999</v>
      </c>
      <c r="B451">
        <v>28644.6</v>
      </c>
      <c r="C451">
        <v>27.900099999999998</v>
      </c>
      <c r="D451">
        <v>47.414999999999999</v>
      </c>
      <c r="E451">
        <v>626.83199999999999</v>
      </c>
      <c r="F451">
        <v>659.88</v>
      </c>
      <c r="G451">
        <f t="shared" ref="G451:G514" si="23" xml:space="preserve"> 3.14159*4*A451/(E451*E451)</f>
        <v>0.97567198166086555</v>
      </c>
      <c r="H451">
        <f t="shared" ref="H451:H514" si="24" xml:space="preserve"> 3*3.14159*B451/(F451*F451)</f>
        <v>0.61998843889551758</v>
      </c>
    </row>
    <row r="452" spans="1:8" x14ac:dyDescent="0.2">
      <c r="A452">
        <v>35508.699999999997</v>
      </c>
      <c r="B452">
        <v>20603.5</v>
      </c>
      <c r="C452">
        <v>27.467199999999998</v>
      </c>
      <c r="D452">
        <v>30.015999999999998</v>
      </c>
      <c r="E452">
        <v>674.00199999999995</v>
      </c>
      <c r="F452">
        <v>521.32799999999997</v>
      </c>
      <c r="G452">
        <f t="shared" si="23"/>
        <v>0.98224968781734601</v>
      </c>
      <c r="H452">
        <f t="shared" si="24"/>
        <v>0.71447931574757806</v>
      </c>
    </row>
    <row r="453" spans="1:8" x14ac:dyDescent="0.2">
      <c r="A453">
        <v>32151.4</v>
      </c>
      <c r="B453">
        <v>16692.5</v>
      </c>
      <c r="C453">
        <v>25.051100000000002</v>
      </c>
      <c r="D453">
        <v>27.191600000000001</v>
      </c>
      <c r="E453">
        <v>642.58500000000004</v>
      </c>
      <c r="F453">
        <v>464.93</v>
      </c>
      <c r="G453">
        <f t="shared" si="23"/>
        <v>0.97847158630841513</v>
      </c>
      <c r="H453">
        <f t="shared" si="24"/>
        <v>0.72780830144138342</v>
      </c>
    </row>
    <row r="454" spans="1:8" x14ac:dyDescent="0.2">
      <c r="A454">
        <v>40391</v>
      </c>
      <c r="B454">
        <v>19279.099999999999</v>
      </c>
      <c r="C454">
        <v>22.434999999999999</v>
      </c>
      <c r="D454">
        <v>29.0563</v>
      </c>
      <c r="E454">
        <v>716.36400000000003</v>
      </c>
      <c r="F454">
        <v>499.24</v>
      </c>
      <c r="G454">
        <f t="shared" si="23"/>
        <v>0.98906901599875996</v>
      </c>
      <c r="H454">
        <f t="shared" si="24"/>
        <v>0.72901886625623014</v>
      </c>
    </row>
    <row r="455" spans="1:8" x14ac:dyDescent="0.2">
      <c r="A455">
        <v>30671.5</v>
      </c>
      <c r="B455">
        <v>19674.900000000001</v>
      </c>
      <c r="C455">
        <v>22.818000000000001</v>
      </c>
      <c r="D455">
        <v>37.836799999999997</v>
      </c>
      <c r="E455">
        <v>627.47500000000002</v>
      </c>
      <c r="F455">
        <v>519.42999999999995</v>
      </c>
      <c r="G455">
        <f t="shared" si="23"/>
        <v>0.9789300463379883</v>
      </c>
      <c r="H455">
        <f t="shared" si="24"/>
        <v>0.68727292666031947</v>
      </c>
    </row>
    <row r="456" spans="1:8" x14ac:dyDescent="0.2">
      <c r="A456">
        <v>32084.3</v>
      </c>
      <c r="B456">
        <v>19668.5</v>
      </c>
      <c r="C456">
        <v>23.729199999999999</v>
      </c>
      <c r="D456">
        <v>30.3156</v>
      </c>
      <c r="E456">
        <v>641.62300000000005</v>
      </c>
      <c r="F456">
        <v>516.10199999999998</v>
      </c>
      <c r="G456">
        <f t="shared" si="23"/>
        <v>0.9793596763239566</v>
      </c>
      <c r="H456">
        <f t="shared" si="24"/>
        <v>0.69593858626701421</v>
      </c>
    </row>
    <row r="457" spans="1:8" x14ac:dyDescent="0.2">
      <c r="A457">
        <v>27192.3</v>
      </c>
      <c r="B457">
        <v>19142.7</v>
      </c>
      <c r="C457">
        <v>27.068100000000001</v>
      </c>
      <c r="D457">
        <v>26.585899999999999</v>
      </c>
      <c r="E457">
        <v>588.60799999999995</v>
      </c>
      <c r="F457">
        <v>499.40499999999997</v>
      </c>
      <c r="G457">
        <f t="shared" si="23"/>
        <v>0.98628656938647608</v>
      </c>
      <c r="H457">
        <f t="shared" si="24"/>
        <v>0.72338280541048616</v>
      </c>
    </row>
    <row r="458" spans="1:8" x14ac:dyDescent="0.2">
      <c r="A458">
        <v>40236.300000000003</v>
      </c>
      <c r="B458">
        <v>21459.1</v>
      </c>
      <c r="C458">
        <v>16.3523</v>
      </c>
      <c r="D458">
        <v>34.710900000000002</v>
      </c>
      <c r="E458">
        <v>714.49599999999998</v>
      </c>
      <c r="F458">
        <v>531.50900000000001</v>
      </c>
      <c r="G458">
        <f t="shared" si="23"/>
        <v>0.99043945190926153</v>
      </c>
      <c r="H458">
        <f t="shared" si="24"/>
        <v>0.7159142691425977</v>
      </c>
    </row>
    <row r="459" spans="1:8" x14ac:dyDescent="0.2">
      <c r="A459">
        <v>32160.9</v>
      </c>
      <c r="B459">
        <v>20228.400000000001</v>
      </c>
      <c r="C459">
        <v>28.094000000000001</v>
      </c>
      <c r="D459">
        <v>33.665999999999997</v>
      </c>
      <c r="E459">
        <v>652.69899999999996</v>
      </c>
      <c r="F459">
        <v>517.69200000000001</v>
      </c>
      <c r="G459">
        <f t="shared" si="23"/>
        <v>0.94866263692550523</v>
      </c>
      <c r="H459">
        <f t="shared" si="24"/>
        <v>0.71135990964804974</v>
      </c>
    </row>
    <row r="460" spans="1:8" x14ac:dyDescent="0.2">
      <c r="A460">
        <v>40751.9</v>
      </c>
      <c r="B460">
        <v>20483</v>
      </c>
      <c r="C460">
        <v>34.918199999999999</v>
      </c>
      <c r="D460">
        <v>27.386700000000001</v>
      </c>
      <c r="E460">
        <v>742.53099999999995</v>
      </c>
      <c r="F460">
        <v>519.23099999999999</v>
      </c>
      <c r="G460">
        <f t="shared" si="23"/>
        <v>0.92881277383553595</v>
      </c>
      <c r="H460">
        <f t="shared" si="24"/>
        <v>0.71604958684829145</v>
      </c>
    </row>
    <row r="461" spans="1:8" x14ac:dyDescent="0.2">
      <c r="A461">
        <v>4454.17</v>
      </c>
      <c r="B461">
        <v>22064.799999999999</v>
      </c>
      <c r="C461">
        <v>55.2179</v>
      </c>
      <c r="D461">
        <v>46.195900000000002</v>
      </c>
      <c r="E461">
        <v>1080.0999999999999</v>
      </c>
      <c r="F461">
        <v>586.48400000000004</v>
      </c>
      <c r="G461">
        <f t="shared" si="23"/>
        <v>4.7978686424164543E-2</v>
      </c>
      <c r="H461">
        <f t="shared" si="24"/>
        <v>0.60458646287696838</v>
      </c>
    </row>
    <row r="462" spans="1:8" x14ac:dyDescent="0.2">
      <c r="A462">
        <v>30931.8</v>
      </c>
      <c r="B462">
        <v>19430.7</v>
      </c>
      <c r="C462">
        <v>24.0182</v>
      </c>
      <c r="D462">
        <v>28.8979</v>
      </c>
      <c r="E462">
        <v>631.43200000000002</v>
      </c>
      <c r="F462">
        <v>501.26900000000001</v>
      </c>
      <c r="G462">
        <f t="shared" si="23"/>
        <v>0.97490324430898945</v>
      </c>
      <c r="H462">
        <f t="shared" si="24"/>
        <v>0.72881535240391881</v>
      </c>
    </row>
    <row r="463" spans="1:8" x14ac:dyDescent="0.2">
      <c r="A463">
        <v>29384</v>
      </c>
      <c r="B463">
        <v>44775.4</v>
      </c>
      <c r="C463">
        <v>27.485399999999998</v>
      </c>
      <c r="D463">
        <v>89.646199999999993</v>
      </c>
      <c r="E463">
        <v>615.06899999999996</v>
      </c>
      <c r="F463">
        <v>1321.76</v>
      </c>
      <c r="G463">
        <f t="shared" si="23"/>
        <v>0.97605150400389729</v>
      </c>
      <c r="H463">
        <f t="shared" si="24"/>
        <v>0.24154887840196704</v>
      </c>
    </row>
    <row r="464" spans="1:8" x14ac:dyDescent="0.2">
      <c r="A464">
        <v>32749.3</v>
      </c>
      <c r="B464">
        <v>28161.7</v>
      </c>
      <c r="C464">
        <v>46.641800000000003</v>
      </c>
      <c r="D464">
        <v>26.671099999999999</v>
      </c>
      <c r="E464">
        <v>672.053</v>
      </c>
      <c r="F464">
        <v>601.072</v>
      </c>
      <c r="G464">
        <f t="shared" si="23"/>
        <v>0.91118061262377603</v>
      </c>
      <c r="H464">
        <f t="shared" si="24"/>
        <v>0.73464348801520851</v>
      </c>
    </row>
    <row r="465" spans="1:8" x14ac:dyDescent="0.2">
      <c r="A465">
        <v>39481.1</v>
      </c>
      <c r="B465">
        <v>24643.1</v>
      </c>
      <c r="C465">
        <v>39.194499999999998</v>
      </c>
      <c r="D465">
        <v>30.0244</v>
      </c>
      <c r="E465">
        <v>727.80899999999997</v>
      </c>
      <c r="F465">
        <v>583.82600000000002</v>
      </c>
      <c r="G465">
        <f t="shared" si="23"/>
        <v>0.93662101532311548</v>
      </c>
      <c r="H465">
        <f t="shared" si="24"/>
        <v>0.68139546091956915</v>
      </c>
    </row>
    <row r="466" spans="1:8" x14ac:dyDescent="0.2">
      <c r="A466">
        <v>4448.78</v>
      </c>
      <c r="B466">
        <v>22416</v>
      </c>
      <c r="C466">
        <v>37.530900000000003</v>
      </c>
      <c r="D466">
        <v>34.865400000000001</v>
      </c>
      <c r="E466">
        <v>1027.08</v>
      </c>
      <c r="F466">
        <v>567.697</v>
      </c>
      <c r="G466">
        <f t="shared" si="23"/>
        <v>5.2995852416267593E-2</v>
      </c>
      <c r="H466">
        <f t="shared" si="24"/>
        <v>0.655534691843215</v>
      </c>
    </row>
    <row r="467" spans="1:8" x14ac:dyDescent="0.2">
      <c r="A467">
        <v>25600.3</v>
      </c>
      <c r="B467">
        <v>18980.5</v>
      </c>
      <c r="C467">
        <v>25.035699999999999</v>
      </c>
      <c r="D467">
        <v>36.823099999999997</v>
      </c>
      <c r="E467">
        <v>571.71500000000003</v>
      </c>
      <c r="F467">
        <v>504.79</v>
      </c>
      <c r="G467">
        <f t="shared" si="23"/>
        <v>0.98422723425228131</v>
      </c>
      <c r="H467">
        <f t="shared" si="24"/>
        <v>0.70203202438097789</v>
      </c>
    </row>
    <row r="468" spans="1:8" x14ac:dyDescent="0.2">
      <c r="A468">
        <v>25081.200000000001</v>
      </c>
      <c r="B468">
        <v>1822.49</v>
      </c>
      <c r="C468">
        <v>22.4925</v>
      </c>
      <c r="D468">
        <v>38.805199999999999</v>
      </c>
      <c r="E468">
        <v>567.99199999999996</v>
      </c>
      <c r="F468">
        <v>513.66600000000005</v>
      </c>
      <c r="G468">
        <f t="shared" si="23"/>
        <v>0.97695232503535079</v>
      </c>
      <c r="H468">
        <f t="shared" si="24"/>
        <v>6.5098993492446119E-2</v>
      </c>
    </row>
    <row r="469" spans="1:8" x14ac:dyDescent="0.2">
      <c r="A469">
        <v>12717.4</v>
      </c>
      <c r="B469">
        <v>38028.199999999997</v>
      </c>
      <c r="C469">
        <v>209.92699999999999</v>
      </c>
      <c r="D469">
        <v>45.764400000000002</v>
      </c>
      <c r="E469">
        <v>1383.68</v>
      </c>
      <c r="F469">
        <v>730.89599999999996</v>
      </c>
      <c r="G469">
        <f t="shared" si="23"/>
        <v>8.3471170071332645E-2</v>
      </c>
      <c r="H469">
        <f t="shared" si="24"/>
        <v>0.67091169085728664</v>
      </c>
    </row>
    <row r="470" spans="1:8" x14ac:dyDescent="0.2">
      <c r="A470">
        <v>40756</v>
      </c>
      <c r="B470">
        <v>39145.5</v>
      </c>
      <c r="C470">
        <v>48.2866</v>
      </c>
      <c r="D470">
        <v>44.388100000000001</v>
      </c>
      <c r="E470">
        <v>787.58799999999997</v>
      </c>
      <c r="F470">
        <v>721.79499999999996</v>
      </c>
      <c r="G470">
        <f t="shared" si="23"/>
        <v>0.8256630887167048</v>
      </c>
      <c r="H470">
        <f t="shared" si="24"/>
        <v>0.70814935936722212</v>
      </c>
    </row>
    <row r="471" spans="1:8" x14ac:dyDescent="0.2">
      <c r="A471">
        <v>3848.84</v>
      </c>
      <c r="B471">
        <v>29432.7</v>
      </c>
      <c r="C471">
        <v>114.621</v>
      </c>
      <c r="D471">
        <v>28.933900000000001</v>
      </c>
      <c r="E471">
        <v>1114.45</v>
      </c>
      <c r="F471">
        <v>620.26</v>
      </c>
      <c r="G471">
        <f t="shared" si="23"/>
        <v>3.8941993281350208E-2</v>
      </c>
      <c r="H471">
        <f t="shared" si="24"/>
        <v>0.72102996663925534</v>
      </c>
    </row>
    <row r="472" spans="1:8" x14ac:dyDescent="0.2">
      <c r="A472">
        <v>33160.9</v>
      </c>
      <c r="B472">
        <v>18957.400000000001</v>
      </c>
      <c r="C472">
        <v>26.701599999999999</v>
      </c>
      <c r="D472">
        <v>27.865100000000002</v>
      </c>
      <c r="E472">
        <v>663.82299999999998</v>
      </c>
      <c r="F472">
        <v>502.69900000000001</v>
      </c>
      <c r="G472">
        <f t="shared" si="23"/>
        <v>0.94565171561398331</v>
      </c>
      <c r="H472">
        <f t="shared" si="24"/>
        <v>0.70702291824717423</v>
      </c>
    </row>
    <row r="473" spans="1:8" x14ac:dyDescent="0.2">
      <c r="A473">
        <v>31960.799999999999</v>
      </c>
      <c r="B473">
        <v>21934.6</v>
      </c>
      <c r="C473">
        <v>27.896799999999999</v>
      </c>
      <c r="D473">
        <v>28.975000000000001</v>
      </c>
      <c r="E473">
        <v>647.42399999999998</v>
      </c>
      <c r="F473">
        <v>532.64300000000003</v>
      </c>
      <c r="G473">
        <f t="shared" si="23"/>
        <v>0.95818540036224797</v>
      </c>
      <c r="H473">
        <f t="shared" si="24"/>
        <v>0.72866520513693078</v>
      </c>
    </row>
    <row r="474" spans="1:8" x14ac:dyDescent="0.2">
      <c r="A474">
        <v>37705.5</v>
      </c>
      <c r="B474">
        <v>17654.8</v>
      </c>
      <c r="C474">
        <v>36.013500000000001</v>
      </c>
      <c r="D474">
        <v>25.2699</v>
      </c>
      <c r="E474">
        <v>730.75300000000004</v>
      </c>
      <c r="F474">
        <v>480.71899999999999</v>
      </c>
      <c r="G474">
        <f t="shared" si="23"/>
        <v>0.88730511984866201</v>
      </c>
      <c r="H474">
        <f t="shared" si="24"/>
        <v>0.72003065628488616</v>
      </c>
    </row>
    <row r="475" spans="1:8" x14ac:dyDescent="0.2">
      <c r="A475">
        <v>29406.3</v>
      </c>
      <c r="B475">
        <v>19485.2</v>
      </c>
      <c r="C475">
        <v>25.279</v>
      </c>
      <c r="D475">
        <v>20.680299999999999</v>
      </c>
      <c r="E475">
        <v>625.60799999999995</v>
      </c>
      <c r="F475">
        <v>501.31200000000001</v>
      </c>
      <c r="G475">
        <f t="shared" si="23"/>
        <v>0.94415933938776908</v>
      </c>
      <c r="H475">
        <f t="shared" si="24"/>
        <v>0.73073418921136979</v>
      </c>
    </row>
    <row r="476" spans="1:8" x14ac:dyDescent="0.2">
      <c r="A476">
        <v>30362.1</v>
      </c>
      <c r="B476">
        <v>16768</v>
      </c>
      <c r="C476">
        <v>27.238499999999998</v>
      </c>
      <c r="D476">
        <v>34.217100000000002</v>
      </c>
      <c r="E476">
        <v>631.29</v>
      </c>
      <c r="F476">
        <v>479.51299999999998</v>
      </c>
      <c r="G476">
        <f t="shared" si="23"/>
        <v>0.9573780887821014</v>
      </c>
      <c r="H476">
        <f t="shared" si="24"/>
        <v>0.68730777118527675</v>
      </c>
    </row>
    <row r="477" spans="1:8" x14ac:dyDescent="0.2">
      <c r="A477">
        <v>9585.2999999999993</v>
      </c>
      <c r="B477">
        <v>26405.9</v>
      </c>
      <c r="C477">
        <v>141.94999999999999</v>
      </c>
      <c r="D477">
        <v>30.691099999999999</v>
      </c>
      <c r="E477">
        <v>1135.67</v>
      </c>
      <c r="F477">
        <v>586.49099999999999</v>
      </c>
      <c r="G477">
        <f t="shared" si="23"/>
        <v>9.3392263223486899E-2</v>
      </c>
      <c r="H477">
        <f t="shared" si="24"/>
        <v>0.72351748457508991</v>
      </c>
    </row>
    <row r="478" spans="1:8" x14ac:dyDescent="0.2">
      <c r="A478">
        <v>25582.799999999999</v>
      </c>
      <c r="B478">
        <v>27238.6</v>
      </c>
      <c r="C478">
        <v>27.4772</v>
      </c>
      <c r="D478">
        <v>25.167400000000001</v>
      </c>
      <c r="E478">
        <v>573.93499999999995</v>
      </c>
      <c r="F478">
        <v>591.60299999999995</v>
      </c>
      <c r="G478">
        <f t="shared" si="23"/>
        <v>0.9759603025481185</v>
      </c>
      <c r="H478">
        <f t="shared" si="24"/>
        <v>0.7334910304884702</v>
      </c>
    </row>
    <row r="479" spans="1:8" x14ac:dyDescent="0.2">
      <c r="A479">
        <v>32530.3</v>
      </c>
      <c r="B479">
        <v>28638.400000000001</v>
      </c>
      <c r="C479">
        <v>107.745</v>
      </c>
      <c r="D479">
        <v>72.903499999999994</v>
      </c>
      <c r="E479">
        <v>1048.8699999999999</v>
      </c>
      <c r="F479">
        <v>943.92200000000003</v>
      </c>
      <c r="G479">
        <f t="shared" si="23"/>
        <v>0.37158163215284601</v>
      </c>
      <c r="H479">
        <f t="shared" si="24"/>
        <v>0.30293349446446044</v>
      </c>
    </row>
    <row r="480" spans="1:8" x14ac:dyDescent="0.2">
      <c r="A480">
        <v>31751.1</v>
      </c>
      <c r="B480">
        <v>18930.5</v>
      </c>
      <c r="C480">
        <v>37.220199999999998</v>
      </c>
      <c r="D480">
        <v>30.353400000000001</v>
      </c>
      <c r="E480">
        <v>659.76499999999999</v>
      </c>
      <c r="F480">
        <v>493.726</v>
      </c>
      <c r="G480">
        <f t="shared" si="23"/>
        <v>0.91662084058853222</v>
      </c>
      <c r="H480">
        <f t="shared" si="24"/>
        <v>0.73191533954466859</v>
      </c>
    </row>
    <row r="481" spans="1:8" x14ac:dyDescent="0.2">
      <c r="A481">
        <v>37161</v>
      </c>
      <c r="B481">
        <v>20359.400000000001</v>
      </c>
      <c r="C481">
        <v>37.984400000000001</v>
      </c>
      <c r="D481">
        <v>36.903500000000001</v>
      </c>
      <c r="E481">
        <v>738.60799999999995</v>
      </c>
      <c r="F481">
        <v>520.255</v>
      </c>
      <c r="G481">
        <f t="shared" si="23"/>
        <v>0.85599036238726489</v>
      </c>
      <c r="H481">
        <f t="shared" si="24"/>
        <v>0.70892976355971193</v>
      </c>
    </row>
    <row r="482" spans="1:8" x14ac:dyDescent="0.2">
      <c r="A482">
        <v>31940.5</v>
      </c>
      <c r="B482">
        <v>22900.799999999999</v>
      </c>
      <c r="C482">
        <v>36.324100000000001</v>
      </c>
      <c r="D482">
        <v>38.911700000000003</v>
      </c>
      <c r="E482">
        <v>642.42600000000004</v>
      </c>
      <c r="F482">
        <v>555.08799999999997</v>
      </c>
      <c r="G482">
        <f t="shared" si="23"/>
        <v>0.97253443850270815</v>
      </c>
      <c r="H482">
        <f t="shared" si="24"/>
        <v>0.70048322113600314</v>
      </c>
    </row>
    <row r="483" spans="1:8" x14ac:dyDescent="0.2">
      <c r="A483">
        <v>36775.800000000003</v>
      </c>
      <c r="B483">
        <v>19039.5</v>
      </c>
      <c r="C483">
        <v>26.3323</v>
      </c>
      <c r="D483">
        <v>26.908300000000001</v>
      </c>
      <c r="E483">
        <v>691.31399999999996</v>
      </c>
      <c r="F483">
        <v>496.83800000000002</v>
      </c>
      <c r="G483">
        <f t="shared" si="23"/>
        <v>0.9669876380323783</v>
      </c>
      <c r="H483">
        <f t="shared" si="24"/>
        <v>0.72693685868024494</v>
      </c>
    </row>
    <row r="484" spans="1:8" x14ac:dyDescent="0.2">
      <c r="A484">
        <v>30022</v>
      </c>
      <c r="B484">
        <v>20521.5</v>
      </c>
      <c r="C484">
        <v>24.7971</v>
      </c>
      <c r="D484">
        <v>35.650100000000002</v>
      </c>
      <c r="E484">
        <v>620.35699999999997</v>
      </c>
      <c r="F484">
        <v>535.17600000000004</v>
      </c>
      <c r="G484">
        <f t="shared" si="23"/>
        <v>0.9803152160249119</v>
      </c>
      <c r="H484">
        <f t="shared" si="24"/>
        <v>0.67528422434192581</v>
      </c>
    </row>
    <row r="485" spans="1:8" x14ac:dyDescent="0.2">
      <c r="A485">
        <v>34642.5</v>
      </c>
      <c r="B485">
        <v>21901.3</v>
      </c>
      <c r="C485">
        <v>31.0977</v>
      </c>
      <c r="D485">
        <v>27.317499999999999</v>
      </c>
      <c r="E485">
        <v>673.84299999999996</v>
      </c>
      <c r="F485">
        <v>533.22799999999995</v>
      </c>
      <c r="G485">
        <f t="shared" si="23"/>
        <v>0.9587409565309869</v>
      </c>
      <c r="H485">
        <f t="shared" si="24"/>
        <v>0.72596346037825277</v>
      </c>
    </row>
    <row r="486" spans="1:8" x14ac:dyDescent="0.2">
      <c r="A486">
        <v>34734.5</v>
      </c>
      <c r="B486">
        <v>19756.3</v>
      </c>
      <c r="C486">
        <v>39.952399999999997</v>
      </c>
      <c r="D486">
        <v>34.958500000000001</v>
      </c>
      <c r="E486">
        <v>682.64700000000005</v>
      </c>
      <c r="F486">
        <v>520.79499999999996</v>
      </c>
      <c r="G486">
        <f t="shared" si="23"/>
        <v>0.93665181029858546</v>
      </c>
      <c r="H486">
        <f t="shared" si="24"/>
        <v>0.68650350800002202</v>
      </c>
    </row>
    <row r="487" spans="1:8" x14ac:dyDescent="0.2">
      <c r="A487">
        <v>31678.1</v>
      </c>
      <c r="B487">
        <v>20154.2</v>
      </c>
      <c r="C487">
        <v>26.653700000000001</v>
      </c>
      <c r="D487">
        <v>25.1496</v>
      </c>
      <c r="E487">
        <v>637.27599999999995</v>
      </c>
      <c r="F487">
        <v>509.70600000000002</v>
      </c>
      <c r="G487">
        <f t="shared" si="23"/>
        <v>0.98019728751448842</v>
      </c>
      <c r="H487">
        <f t="shared" si="24"/>
        <v>0.73113375135362924</v>
      </c>
    </row>
    <row r="488" spans="1:8" x14ac:dyDescent="0.2">
      <c r="A488">
        <v>32149</v>
      </c>
      <c r="B488">
        <v>18456.599999999999</v>
      </c>
      <c r="C488">
        <v>20.592400000000001</v>
      </c>
      <c r="D488">
        <v>24.427199999999999</v>
      </c>
      <c r="E488">
        <v>639.97799999999995</v>
      </c>
      <c r="F488">
        <v>490.262</v>
      </c>
      <c r="G488">
        <f t="shared" si="23"/>
        <v>0.98638594675500457</v>
      </c>
      <c r="H488">
        <f t="shared" si="24"/>
        <v>0.72371236949394757</v>
      </c>
    </row>
    <row r="489" spans="1:8" x14ac:dyDescent="0.2">
      <c r="A489">
        <v>38490.6</v>
      </c>
      <c r="B489">
        <v>25336.400000000001</v>
      </c>
      <c r="C489">
        <v>35.145099999999999</v>
      </c>
      <c r="D489">
        <v>33.785600000000002</v>
      </c>
      <c r="E489">
        <v>707.24599999999998</v>
      </c>
      <c r="F489">
        <v>609.33100000000002</v>
      </c>
      <c r="G489">
        <f t="shared" si="23"/>
        <v>0.96699266198783151</v>
      </c>
      <c r="H489">
        <f t="shared" si="24"/>
        <v>0.64314532957895421</v>
      </c>
    </row>
    <row r="490" spans="1:8" x14ac:dyDescent="0.2">
      <c r="A490">
        <v>49698.8</v>
      </c>
      <c r="B490">
        <v>19426.3</v>
      </c>
      <c r="C490">
        <v>28.135300000000001</v>
      </c>
      <c r="D490">
        <v>27.778700000000001</v>
      </c>
      <c r="E490">
        <v>805.23500000000001</v>
      </c>
      <c r="F490">
        <v>502.17500000000001</v>
      </c>
      <c r="G490">
        <f t="shared" si="23"/>
        <v>0.9631858922012958</v>
      </c>
      <c r="H490">
        <f t="shared" si="24"/>
        <v>0.72602349521603204</v>
      </c>
    </row>
    <row r="491" spans="1:8" x14ac:dyDescent="0.2">
      <c r="A491">
        <v>34074.300000000003</v>
      </c>
      <c r="B491">
        <v>7474.91</v>
      </c>
      <c r="C491">
        <v>24.5913</v>
      </c>
      <c r="D491">
        <v>114.673</v>
      </c>
      <c r="E491">
        <v>668.303</v>
      </c>
      <c r="F491">
        <v>1333.18</v>
      </c>
      <c r="G491">
        <f t="shared" si="23"/>
        <v>0.9587152124081415</v>
      </c>
      <c r="H491">
        <f t="shared" si="24"/>
        <v>3.9636851432025749E-2</v>
      </c>
    </row>
    <row r="492" spans="1:8" x14ac:dyDescent="0.2">
      <c r="A492">
        <v>36482.199999999997</v>
      </c>
      <c r="B492">
        <v>22791.599999999999</v>
      </c>
      <c r="C492">
        <v>26.488399999999999</v>
      </c>
      <c r="D492">
        <v>20.892399999999999</v>
      </c>
      <c r="E492">
        <v>692.04</v>
      </c>
      <c r="F492">
        <v>543.28200000000004</v>
      </c>
      <c r="G492">
        <f t="shared" si="23"/>
        <v>0.95725605509117506</v>
      </c>
      <c r="H492">
        <f t="shared" si="24"/>
        <v>0.72777132916039977</v>
      </c>
    </row>
    <row r="493" spans="1:8" x14ac:dyDescent="0.2">
      <c r="A493">
        <v>29028</v>
      </c>
      <c r="B493">
        <v>23279.200000000001</v>
      </c>
      <c r="C493">
        <v>24.7331</v>
      </c>
      <c r="D493">
        <v>34.705100000000002</v>
      </c>
      <c r="E493">
        <v>616.02300000000002</v>
      </c>
      <c r="F493">
        <v>562.71400000000006</v>
      </c>
      <c r="G493">
        <f t="shared" si="23"/>
        <v>0.96124204075580844</v>
      </c>
      <c r="H493">
        <f t="shared" si="24"/>
        <v>0.6928885290322564</v>
      </c>
    </row>
    <row r="494" spans="1:8" x14ac:dyDescent="0.2">
      <c r="A494">
        <v>4180.74</v>
      </c>
      <c r="B494">
        <v>17069.099999999999</v>
      </c>
      <c r="C494">
        <v>119.461</v>
      </c>
      <c r="D494">
        <v>36.900599999999997</v>
      </c>
      <c r="E494">
        <v>1036.18</v>
      </c>
      <c r="F494">
        <v>482.05500000000001</v>
      </c>
      <c r="G494">
        <f t="shared" si="23"/>
        <v>4.8931918755484763E-2</v>
      </c>
      <c r="H494">
        <f t="shared" si="24"/>
        <v>0.69229022522460271</v>
      </c>
    </row>
    <row r="495" spans="1:8" x14ac:dyDescent="0.2">
      <c r="A495">
        <v>3025.22</v>
      </c>
      <c r="B495">
        <v>17430.599999999999</v>
      </c>
      <c r="C495">
        <v>144.733</v>
      </c>
      <c r="D495">
        <v>26.730499999999999</v>
      </c>
      <c r="E495">
        <v>1157.83</v>
      </c>
      <c r="F495">
        <v>477.517</v>
      </c>
      <c r="G495">
        <f t="shared" si="23"/>
        <v>2.8358082636034131E-2</v>
      </c>
      <c r="H495">
        <f t="shared" si="24"/>
        <v>0.72045261568739216</v>
      </c>
    </row>
    <row r="496" spans="1:8" x14ac:dyDescent="0.2">
      <c r="A496">
        <v>36858.5</v>
      </c>
      <c r="B496">
        <v>21273.599999999999</v>
      </c>
      <c r="C496">
        <v>34.665300000000002</v>
      </c>
      <c r="D496">
        <v>25.9421</v>
      </c>
      <c r="E496">
        <v>697.40300000000002</v>
      </c>
      <c r="F496">
        <v>534.25699999999995</v>
      </c>
      <c r="G496">
        <f t="shared" si="23"/>
        <v>0.95231260293070485</v>
      </c>
      <c r="H496">
        <f t="shared" si="24"/>
        <v>0.7024433532329567</v>
      </c>
    </row>
    <row r="497" spans="1:8" x14ac:dyDescent="0.2">
      <c r="A497">
        <v>35773.5</v>
      </c>
      <c r="B497">
        <v>22148.400000000001</v>
      </c>
      <c r="C497">
        <v>20.874199999999998</v>
      </c>
      <c r="D497">
        <v>26.777899999999999</v>
      </c>
      <c r="E497">
        <v>682.31500000000005</v>
      </c>
      <c r="F497">
        <v>536.74699999999996</v>
      </c>
      <c r="G497">
        <f t="shared" si="23"/>
        <v>0.96560852651763884</v>
      </c>
      <c r="H497">
        <f t="shared" si="24"/>
        <v>0.72455918687885357</v>
      </c>
    </row>
    <row r="498" spans="1:8" x14ac:dyDescent="0.2">
      <c r="A498">
        <v>37415.9</v>
      </c>
      <c r="B498">
        <v>25967.8</v>
      </c>
      <c r="C498">
        <v>29.4575</v>
      </c>
      <c r="D498">
        <v>25.952100000000002</v>
      </c>
      <c r="E498">
        <v>696.62</v>
      </c>
      <c r="F498">
        <v>582.52700000000004</v>
      </c>
      <c r="G498">
        <f t="shared" si="23"/>
        <v>0.96888853201499958</v>
      </c>
      <c r="H498">
        <f t="shared" si="24"/>
        <v>0.72123002623661658</v>
      </c>
    </row>
    <row r="499" spans="1:8" x14ac:dyDescent="0.2">
      <c r="A499">
        <v>5684.35</v>
      </c>
      <c r="B499">
        <v>25787.4</v>
      </c>
      <c r="C499">
        <v>117.18600000000001</v>
      </c>
      <c r="D499">
        <v>26.233699999999999</v>
      </c>
      <c r="E499">
        <v>1257.29</v>
      </c>
      <c r="F499">
        <v>583.303</v>
      </c>
      <c r="G499">
        <f t="shared" si="23"/>
        <v>4.5187611387851552E-2</v>
      </c>
      <c r="H499">
        <f t="shared" si="24"/>
        <v>0.71431520932601666</v>
      </c>
    </row>
    <row r="500" spans="1:8" x14ac:dyDescent="0.2">
      <c r="A500">
        <v>37236.699999999997</v>
      </c>
      <c r="B500">
        <v>26256.6</v>
      </c>
      <c r="C500">
        <v>21.763200000000001</v>
      </c>
      <c r="D500">
        <v>36.218699999999998</v>
      </c>
      <c r="E500">
        <v>690.452</v>
      </c>
      <c r="F500">
        <v>616.66499999999996</v>
      </c>
      <c r="G500">
        <f t="shared" si="23"/>
        <v>0.98155287430360405</v>
      </c>
      <c r="H500">
        <f t="shared" si="24"/>
        <v>0.65074471368851261</v>
      </c>
    </row>
    <row r="501" spans="1:8" x14ac:dyDescent="0.2">
      <c r="A501">
        <v>42234.8</v>
      </c>
      <c r="B501">
        <v>19053.900000000001</v>
      </c>
      <c r="C501">
        <v>27.170300000000001</v>
      </c>
      <c r="D501">
        <v>108.49</v>
      </c>
      <c r="E501">
        <v>739.77800000000002</v>
      </c>
      <c r="F501">
        <v>1186.17</v>
      </c>
      <c r="G501">
        <f t="shared" si="23"/>
        <v>0.96978869120766509</v>
      </c>
      <c r="H501">
        <f t="shared" si="24"/>
        <v>0.12763235139659707</v>
      </c>
    </row>
    <row r="502" spans="1:8" x14ac:dyDescent="0.2">
      <c r="A502">
        <v>29535.7</v>
      </c>
      <c r="B502">
        <v>17846.5</v>
      </c>
      <c r="C502">
        <v>23.262799999999999</v>
      </c>
      <c r="D502">
        <v>33.619</v>
      </c>
      <c r="E502">
        <v>625.78200000000004</v>
      </c>
      <c r="F502">
        <v>489.87099999999998</v>
      </c>
      <c r="G502">
        <f t="shared" si="23"/>
        <v>0.94778674665676921</v>
      </c>
      <c r="H502">
        <f t="shared" si="24"/>
        <v>0.70090693375999014</v>
      </c>
    </row>
    <row r="503" spans="1:8" x14ac:dyDescent="0.2">
      <c r="A503">
        <v>34353.599999999999</v>
      </c>
      <c r="B503">
        <v>27290.400000000001</v>
      </c>
      <c r="C503">
        <v>39.1678</v>
      </c>
      <c r="D503">
        <v>23.965599999999998</v>
      </c>
      <c r="E503">
        <v>713.82600000000002</v>
      </c>
      <c r="F503">
        <v>591.55999999999995</v>
      </c>
      <c r="G503">
        <f t="shared" si="23"/>
        <v>0.84722161432116372</v>
      </c>
      <c r="H503">
        <f t="shared" si="24"/>
        <v>0.73499276028865046</v>
      </c>
    </row>
    <row r="504" spans="1:8" x14ac:dyDescent="0.2">
      <c r="A504">
        <v>37971.9</v>
      </c>
      <c r="B504">
        <v>34939.300000000003</v>
      </c>
      <c r="C504">
        <v>41.256599999999999</v>
      </c>
      <c r="D504">
        <v>25.017900000000001</v>
      </c>
      <c r="E504">
        <v>712.75300000000004</v>
      </c>
      <c r="F504">
        <v>683.81</v>
      </c>
      <c r="G504">
        <f t="shared" si="23"/>
        <v>0.93927706454538695</v>
      </c>
      <c r="H504">
        <f t="shared" si="24"/>
        <v>0.70422925923229251</v>
      </c>
    </row>
    <row r="505" spans="1:8" x14ac:dyDescent="0.2">
      <c r="A505">
        <v>40778.1</v>
      </c>
      <c r="B505">
        <v>27303.9</v>
      </c>
      <c r="C505">
        <v>41.670400000000001</v>
      </c>
      <c r="D505">
        <v>24.541499999999999</v>
      </c>
      <c r="E505">
        <v>745.55100000000004</v>
      </c>
      <c r="F505">
        <v>592.26599999999996</v>
      </c>
      <c r="G505">
        <f t="shared" si="23"/>
        <v>0.92189565823359843</v>
      </c>
      <c r="H505">
        <f t="shared" si="24"/>
        <v>0.73360425446772937</v>
      </c>
    </row>
    <row r="506" spans="1:8" x14ac:dyDescent="0.2">
      <c r="A506">
        <v>8131.46</v>
      </c>
      <c r="B506">
        <v>28607.5</v>
      </c>
      <c r="C506">
        <v>43.775100000000002</v>
      </c>
      <c r="D506">
        <v>27.43</v>
      </c>
      <c r="E506">
        <v>1173.73</v>
      </c>
      <c r="F506">
        <v>613.351</v>
      </c>
      <c r="G506">
        <f t="shared" si="23"/>
        <v>7.4172277929643413E-2</v>
      </c>
      <c r="H506">
        <f t="shared" si="24"/>
        <v>0.71669192591227038</v>
      </c>
    </row>
    <row r="507" spans="1:8" x14ac:dyDescent="0.2">
      <c r="A507">
        <v>44357.8</v>
      </c>
      <c r="B507">
        <v>6717.73</v>
      </c>
      <c r="C507">
        <v>31.750699999999998</v>
      </c>
      <c r="D507">
        <v>238.04499999999999</v>
      </c>
      <c r="E507">
        <v>752.75800000000004</v>
      </c>
      <c r="F507">
        <v>1142.95</v>
      </c>
      <c r="G507">
        <f t="shared" si="23"/>
        <v>0.98371373723653788</v>
      </c>
      <c r="H507">
        <f t="shared" si="24"/>
        <v>4.8466185619148387E-2</v>
      </c>
    </row>
    <row r="508" spans="1:8" x14ac:dyDescent="0.2">
      <c r="A508">
        <v>12808.7</v>
      </c>
      <c r="B508">
        <v>25321.4</v>
      </c>
      <c r="C508">
        <v>74.328800000000001</v>
      </c>
      <c r="D508">
        <v>30.041399999999999</v>
      </c>
      <c r="E508">
        <v>741.92100000000005</v>
      </c>
      <c r="F508">
        <v>585.33699999999999</v>
      </c>
      <c r="G508">
        <f t="shared" si="23"/>
        <v>0.29241471479890424</v>
      </c>
      <c r="H508">
        <f t="shared" si="24"/>
        <v>0.69654073468124145</v>
      </c>
    </row>
    <row r="509" spans="1:8" x14ac:dyDescent="0.2">
      <c r="A509">
        <v>19417.400000000001</v>
      </c>
      <c r="B509">
        <v>25673.200000000001</v>
      </c>
      <c r="C509">
        <v>173.31</v>
      </c>
      <c r="D509">
        <v>27.669899999999998</v>
      </c>
      <c r="E509">
        <v>1384.73</v>
      </c>
      <c r="F509">
        <v>576.14400000000001</v>
      </c>
      <c r="G509">
        <f t="shared" si="23"/>
        <v>0.12725368630853859</v>
      </c>
      <c r="H509">
        <f t="shared" si="24"/>
        <v>0.72893478887728735</v>
      </c>
    </row>
    <row r="510" spans="1:8" x14ac:dyDescent="0.2">
      <c r="A510">
        <v>29310.3</v>
      </c>
      <c r="B510">
        <v>29211.8</v>
      </c>
      <c r="C510">
        <v>25.312899999999999</v>
      </c>
      <c r="D510">
        <v>28.901199999999999</v>
      </c>
      <c r="E510">
        <v>613.58299999999997</v>
      </c>
      <c r="F510">
        <v>623.44000000000005</v>
      </c>
      <c r="G510">
        <f t="shared" si="23"/>
        <v>0.97832493742297211</v>
      </c>
      <c r="H510">
        <f t="shared" si="24"/>
        <v>0.7083367144214876</v>
      </c>
    </row>
    <row r="511" spans="1:8" x14ac:dyDescent="0.2">
      <c r="A511">
        <v>26793.4</v>
      </c>
      <c r="B511">
        <v>25038</v>
      </c>
      <c r="C511">
        <v>27.863099999999999</v>
      </c>
      <c r="D511">
        <v>32.0398</v>
      </c>
      <c r="E511">
        <v>591.49400000000003</v>
      </c>
      <c r="F511">
        <v>578.06700000000001</v>
      </c>
      <c r="G511">
        <f t="shared" si="23"/>
        <v>0.96235794866862046</v>
      </c>
      <c r="H511">
        <f t="shared" si="24"/>
        <v>0.70617776729665382</v>
      </c>
    </row>
    <row r="512" spans="1:8" x14ac:dyDescent="0.2">
      <c r="A512">
        <v>40056.199999999997</v>
      </c>
      <c r="B512">
        <v>20359.5</v>
      </c>
      <c r="C512">
        <v>34.604900000000001</v>
      </c>
      <c r="D512">
        <v>30.867999999999999</v>
      </c>
      <c r="E512">
        <v>737.06200000000001</v>
      </c>
      <c r="F512">
        <v>513.50199999999995</v>
      </c>
      <c r="G512">
        <f t="shared" si="23"/>
        <v>0.92655499460108359</v>
      </c>
      <c r="H512">
        <f t="shared" si="24"/>
        <v>0.72770203573470638</v>
      </c>
    </row>
    <row r="513" spans="1:8" x14ac:dyDescent="0.2">
      <c r="A513">
        <v>2992.68</v>
      </c>
      <c r="B513">
        <v>26349.1</v>
      </c>
      <c r="C513">
        <v>41.887500000000003</v>
      </c>
      <c r="D513">
        <v>31.9621</v>
      </c>
      <c r="E513">
        <v>797.12199999999996</v>
      </c>
      <c r="F513">
        <v>585.55999999999995</v>
      </c>
      <c r="G513">
        <f t="shared" si="23"/>
        <v>5.9186163214131449E-2</v>
      </c>
      <c r="H513">
        <f t="shared" si="24"/>
        <v>0.72425873549846431</v>
      </c>
    </row>
    <row r="514" spans="1:8" x14ac:dyDescent="0.2">
      <c r="A514">
        <v>37629.5</v>
      </c>
      <c r="B514">
        <v>21099.7</v>
      </c>
      <c r="C514">
        <v>22.3001</v>
      </c>
      <c r="D514">
        <v>21.7133</v>
      </c>
      <c r="E514">
        <v>700.58399999999995</v>
      </c>
      <c r="F514">
        <v>532.14700000000005</v>
      </c>
      <c r="G514">
        <f t="shared" si="23"/>
        <v>0.96342412138118705</v>
      </c>
      <c r="H514">
        <f t="shared" si="24"/>
        <v>0.70223715616073712</v>
      </c>
    </row>
    <row r="515" spans="1:8" x14ac:dyDescent="0.2">
      <c r="A515">
        <v>8070.97</v>
      </c>
      <c r="B515">
        <v>19184.400000000001</v>
      </c>
      <c r="C515">
        <v>149.04900000000001</v>
      </c>
      <c r="D515">
        <v>28.771100000000001</v>
      </c>
      <c r="E515">
        <v>1219.72</v>
      </c>
      <c r="F515">
        <v>504.25099999999998</v>
      </c>
      <c r="G515">
        <f t="shared" ref="G515:G578" si="25" xml:space="preserve"> 3.14159*4*A515/(E515*E515)</f>
        <v>6.8173397802865174E-2</v>
      </c>
      <c r="H515">
        <f t="shared" ref="H515:H578" si="26" xml:space="preserve"> 3*3.14159*B515/(F515*F515)</f>
        <v>0.71109143112136086</v>
      </c>
    </row>
    <row r="516" spans="1:8" x14ac:dyDescent="0.2">
      <c r="A516">
        <v>32595</v>
      </c>
      <c r="B516">
        <v>22584.799999999999</v>
      </c>
      <c r="C516">
        <v>31.099399999999999</v>
      </c>
      <c r="D516">
        <v>27.0273</v>
      </c>
      <c r="E516">
        <v>649.851</v>
      </c>
      <c r="F516">
        <v>546.04200000000003</v>
      </c>
      <c r="G516">
        <f t="shared" si="25"/>
        <v>0.96991326595638172</v>
      </c>
      <c r="H516">
        <f t="shared" si="26"/>
        <v>0.71389594021550495</v>
      </c>
    </row>
    <row r="517" spans="1:8" x14ac:dyDescent="0.2">
      <c r="A517">
        <v>29609.9</v>
      </c>
      <c r="B517">
        <v>26797</v>
      </c>
      <c r="C517">
        <v>24.076499999999999</v>
      </c>
      <c r="D517">
        <v>34.718600000000002</v>
      </c>
      <c r="E517">
        <v>628.81500000000005</v>
      </c>
      <c r="F517">
        <v>637.95600000000002</v>
      </c>
      <c r="G517">
        <f t="shared" si="25"/>
        <v>0.941023896028925</v>
      </c>
      <c r="H517">
        <f t="shared" si="26"/>
        <v>0.62054814846519335</v>
      </c>
    </row>
    <row r="518" spans="1:8" x14ac:dyDescent="0.2">
      <c r="A518">
        <v>3829.2</v>
      </c>
      <c r="B518">
        <v>26145</v>
      </c>
      <c r="C518">
        <v>60.447200000000002</v>
      </c>
      <c r="D518">
        <v>29.4696</v>
      </c>
      <c r="E518">
        <v>864.76</v>
      </c>
      <c r="F518">
        <v>588.98699999999997</v>
      </c>
      <c r="G518">
        <f t="shared" si="25"/>
        <v>6.4346712233016162E-2</v>
      </c>
      <c r="H518">
        <f t="shared" si="26"/>
        <v>0.71031009716559568</v>
      </c>
    </row>
    <row r="519" spans="1:8" x14ac:dyDescent="0.2">
      <c r="A519">
        <v>29777.9</v>
      </c>
      <c r="B519">
        <v>24966.9</v>
      </c>
      <c r="C519">
        <v>22.9147</v>
      </c>
      <c r="D519">
        <v>34.963500000000003</v>
      </c>
      <c r="E519">
        <v>619.322</v>
      </c>
      <c r="F519">
        <v>572.44299999999998</v>
      </c>
      <c r="G519">
        <f t="shared" si="25"/>
        <v>0.97559720880061263</v>
      </c>
      <c r="H519">
        <f t="shared" si="26"/>
        <v>0.71807678133094976</v>
      </c>
    </row>
    <row r="520" spans="1:8" x14ac:dyDescent="0.2">
      <c r="A520">
        <v>32999</v>
      </c>
      <c r="B520">
        <v>21099.5</v>
      </c>
      <c r="C520">
        <v>22.834700000000002</v>
      </c>
      <c r="D520">
        <v>21.309100000000001</v>
      </c>
      <c r="E520">
        <v>653.64</v>
      </c>
      <c r="F520">
        <v>531.85</v>
      </c>
      <c r="G520">
        <f t="shared" si="25"/>
        <v>0.97058379005555606</v>
      </c>
      <c r="H520">
        <f t="shared" si="26"/>
        <v>0.70301500930185001</v>
      </c>
    </row>
    <row r="521" spans="1:8" x14ac:dyDescent="0.2">
      <c r="A521">
        <v>5531.54</v>
      </c>
      <c r="B521">
        <v>22125.5</v>
      </c>
      <c r="C521">
        <v>156.977</v>
      </c>
      <c r="D521">
        <v>27.286300000000001</v>
      </c>
      <c r="E521">
        <v>1275.04</v>
      </c>
      <c r="F521">
        <v>541.80100000000004</v>
      </c>
      <c r="G521">
        <f t="shared" si="25"/>
        <v>4.2757069868427283E-2</v>
      </c>
      <c r="H521">
        <f t="shared" si="26"/>
        <v>0.71036940724770514</v>
      </c>
    </row>
    <row r="522" spans="1:8" x14ac:dyDescent="0.2">
      <c r="A522">
        <v>32261.3</v>
      </c>
      <c r="B522">
        <v>33521</v>
      </c>
      <c r="C522">
        <v>26.3111</v>
      </c>
      <c r="D522">
        <v>29.875599999999999</v>
      </c>
      <c r="E522">
        <v>652.64</v>
      </c>
      <c r="F522">
        <v>671.44</v>
      </c>
      <c r="G522">
        <f t="shared" si="25"/>
        <v>0.95179624031282806</v>
      </c>
      <c r="H522">
        <f t="shared" si="26"/>
        <v>0.70076645823759598</v>
      </c>
    </row>
    <row r="523" spans="1:8" x14ac:dyDescent="0.2">
      <c r="A523">
        <v>33650.699999999997</v>
      </c>
      <c r="B523">
        <v>27130.5</v>
      </c>
      <c r="C523">
        <v>23.5062</v>
      </c>
      <c r="D523">
        <v>33.6327</v>
      </c>
      <c r="E523">
        <v>668.04100000000005</v>
      </c>
      <c r="F523">
        <v>610.08799999999997</v>
      </c>
      <c r="G523">
        <f t="shared" si="25"/>
        <v>0.94753959094659213</v>
      </c>
      <c r="H523">
        <f t="shared" si="26"/>
        <v>0.68697920741017326</v>
      </c>
    </row>
    <row r="524" spans="1:8" x14ac:dyDescent="0.2">
      <c r="A524">
        <v>31197.9</v>
      </c>
      <c r="B524">
        <v>20182.8</v>
      </c>
      <c r="C524">
        <v>22.744900000000001</v>
      </c>
      <c r="D524">
        <v>31.203299999999999</v>
      </c>
      <c r="E524">
        <v>631.36199999999997</v>
      </c>
      <c r="F524">
        <v>512.24599999999998</v>
      </c>
      <c r="G524">
        <f t="shared" si="25"/>
        <v>0.98350818876325308</v>
      </c>
      <c r="H524">
        <f t="shared" si="26"/>
        <v>0.72492825225748136</v>
      </c>
    </row>
    <row r="525" spans="1:8" x14ac:dyDescent="0.2">
      <c r="A525">
        <v>41505.699999999997</v>
      </c>
      <c r="B525">
        <v>20688</v>
      </c>
      <c r="C525">
        <v>33.782699999999998</v>
      </c>
      <c r="D525">
        <v>29.194099999999999</v>
      </c>
      <c r="E525">
        <v>747.39099999999996</v>
      </c>
      <c r="F525">
        <v>520.25599999999997</v>
      </c>
      <c r="G525">
        <f t="shared" si="25"/>
        <v>0.93373042932487904</v>
      </c>
      <c r="H525">
        <f t="shared" si="26"/>
        <v>0.72036909571689089</v>
      </c>
    </row>
    <row r="526" spans="1:8" x14ac:dyDescent="0.2">
      <c r="A526">
        <v>39602.9</v>
      </c>
      <c r="B526">
        <v>32842.5</v>
      </c>
      <c r="C526">
        <v>29.526499999999999</v>
      </c>
      <c r="D526">
        <v>28.7254</v>
      </c>
      <c r="E526">
        <v>758.64099999999996</v>
      </c>
      <c r="F526">
        <v>653.47199999999998</v>
      </c>
      <c r="G526">
        <f t="shared" si="25"/>
        <v>0.86469682894298283</v>
      </c>
      <c r="H526">
        <f t="shared" si="26"/>
        <v>0.72485810924303684</v>
      </c>
    </row>
    <row r="527" spans="1:8" x14ac:dyDescent="0.2">
      <c r="A527">
        <v>21754</v>
      </c>
      <c r="B527">
        <v>24396.7</v>
      </c>
      <c r="C527">
        <v>211.809</v>
      </c>
      <c r="D527">
        <v>21.633700000000001</v>
      </c>
      <c r="E527">
        <v>1519.07</v>
      </c>
      <c r="F527">
        <v>557.90899999999999</v>
      </c>
      <c r="G527">
        <f t="shared" si="25"/>
        <v>0.11846581524054904</v>
      </c>
      <c r="H527">
        <f t="shared" si="26"/>
        <v>0.73871192806584318</v>
      </c>
    </row>
    <row r="528" spans="1:8" x14ac:dyDescent="0.2">
      <c r="A528">
        <v>31785.1</v>
      </c>
      <c r="B528">
        <v>25625.4</v>
      </c>
      <c r="C528">
        <v>22.116099999999999</v>
      </c>
      <c r="D528">
        <v>29.014900000000001</v>
      </c>
      <c r="E528">
        <v>642.84199999999998</v>
      </c>
      <c r="F528">
        <v>576.30399999999997</v>
      </c>
      <c r="G528">
        <f t="shared" si="25"/>
        <v>0.96655059412200639</v>
      </c>
      <c r="H528">
        <f t="shared" si="26"/>
        <v>0.72717367114707798</v>
      </c>
    </row>
    <row r="529" spans="1:8" x14ac:dyDescent="0.2">
      <c r="A529">
        <v>18859.7</v>
      </c>
      <c r="B529">
        <v>20062.2</v>
      </c>
      <c r="C529">
        <v>30.7591</v>
      </c>
      <c r="D529">
        <v>23.9755</v>
      </c>
      <c r="E529">
        <v>509.88400000000001</v>
      </c>
      <c r="F529">
        <v>518.54499999999996</v>
      </c>
      <c r="G529">
        <f t="shared" si="25"/>
        <v>0.9115941070370408</v>
      </c>
      <c r="H529">
        <f t="shared" si="26"/>
        <v>0.70319603643767925</v>
      </c>
    </row>
    <row r="530" spans="1:8" x14ac:dyDescent="0.2">
      <c r="A530">
        <v>19278.8</v>
      </c>
      <c r="B530">
        <v>29076.3</v>
      </c>
      <c r="C530">
        <v>35.8399</v>
      </c>
      <c r="D530">
        <v>32.099499999999999</v>
      </c>
      <c r="E530">
        <v>509.37</v>
      </c>
      <c r="F530">
        <v>630.43399999999997</v>
      </c>
      <c r="G530">
        <f t="shared" si="25"/>
        <v>0.93373313140931846</v>
      </c>
      <c r="H530">
        <f t="shared" si="26"/>
        <v>0.68949424803735115</v>
      </c>
    </row>
    <row r="531" spans="1:8" x14ac:dyDescent="0.2">
      <c r="A531">
        <v>23558.6</v>
      </c>
      <c r="B531">
        <v>23340.1</v>
      </c>
      <c r="C531">
        <v>35.4968</v>
      </c>
      <c r="D531">
        <v>26.061800000000002</v>
      </c>
      <c r="E531">
        <v>586.93299999999999</v>
      </c>
      <c r="F531">
        <v>549.072</v>
      </c>
      <c r="G531">
        <f t="shared" si="25"/>
        <v>0.85937342428680519</v>
      </c>
      <c r="H531">
        <f t="shared" si="26"/>
        <v>0.72965048969770596</v>
      </c>
    </row>
    <row r="532" spans="1:8" x14ac:dyDescent="0.2">
      <c r="A532">
        <v>31178.6</v>
      </c>
      <c r="B532">
        <v>42079.9</v>
      </c>
      <c r="C532">
        <v>25.1358</v>
      </c>
      <c r="D532">
        <v>65.5428</v>
      </c>
      <c r="E532">
        <v>649.048</v>
      </c>
      <c r="F532">
        <v>1165.1600000000001</v>
      </c>
      <c r="G532">
        <f t="shared" si="25"/>
        <v>0.93006323131609447</v>
      </c>
      <c r="H532">
        <f t="shared" si="26"/>
        <v>0.29212876718311087</v>
      </c>
    </row>
    <row r="533" spans="1:8" x14ac:dyDescent="0.2">
      <c r="A533">
        <v>41382</v>
      </c>
      <c r="B533">
        <v>8813.83</v>
      </c>
      <c r="C533">
        <v>24.454999999999998</v>
      </c>
      <c r="D533">
        <v>203.04599999999999</v>
      </c>
      <c r="E533">
        <v>736.31600000000003</v>
      </c>
      <c r="F533">
        <v>1313.11</v>
      </c>
      <c r="G533">
        <f t="shared" si="25"/>
        <v>0.95916317837136666</v>
      </c>
      <c r="H533">
        <f t="shared" si="26"/>
        <v>4.8176274508133651E-2</v>
      </c>
    </row>
    <row r="534" spans="1:8" x14ac:dyDescent="0.2">
      <c r="A534">
        <v>30942.799999999999</v>
      </c>
      <c r="B534">
        <v>20978.9</v>
      </c>
      <c r="C534">
        <v>24.342600000000001</v>
      </c>
      <c r="D534">
        <v>23.3353</v>
      </c>
      <c r="E534">
        <v>635.29700000000003</v>
      </c>
      <c r="F534">
        <v>521.85400000000004</v>
      </c>
      <c r="G534">
        <f t="shared" si="25"/>
        <v>0.96341964652301892</v>
      </c>
      <c r="H534">
        <f t="shared" si="26"/>
        <v>0.72603146054908207</v>
      </c>
    </row>
    <row r="535" spans="1:8" x14ac:dyDescent="0.2">
      <c r="A535">
        <v>41605.5</v>
      </c>
      <c r="B535">
        <v>23245.3</v>
      </c>
      <c r="C535">
        <v>28.930099999999999</v>
      </c>
      <c r="D535">
        <v>22.523800000000001</v>
      </c>
      <c r="E535">
        <v>775.80399999999997</v>
      </c>
      <c r="F535">
        <v>552.303</v>
      </c>
      <c r="G535">
        <f t="shared" si="25"/>
        <v>0.86867278157854244</v>
      </c>
      <c r="H535">
        <f t="shared" si="26"/>
        <v>0.71820944413375953</v>
      </c>
    </row>
    <row r="536" spans="1:8" x14ac:dyDescent="0.2">
      <c r="A536">
        <v>28962.9</v>
      </c>
      <c r="B536">
        <v>19629.400000000001</v>
      </c>
      <c r="C536">
        <v>19.6035</v>
      </c>
      <c r="D536">
        <v>28.470099999999999</v>
      </c>
      <c r="E536">
        <v>621.024</v>
      </c>
      <c r="F536">
        <v>504.72899999999998</v>
      </c>
      <c r="G536">
        <f t="shared" si="25"/>
        <v>0.9437017786952332</v>
      </c>
      <c r="H536">
        <f t="shared" si="26"/>
        <v>0.72620840076817217</v>
      </c>
    </row>
    <row r="537" spans="1:8" x14ac:dyDescent="0.2">
      <c r="A537">
        <v>38681.1</v>
      </c>
      <c r="B537">
        <v>30529.7</v>
      </c>
      <c r="C537">
        <v>28.086500000000001</v>
      </c>
      <c r="D537">
        <v>23.1907</v>
      </c>
      <c r="E537">
        <v>717.81700000000001</v>
      </c>
      <c r="F537">
        <v>634.65300000000002</v>
      </c>
      <c r="G537">
        <f t="shared" si="25"/>
        <v>0.94336733463176214</v>
      </c>
      <c r="H537">
        <f t="shared" si="26"/>
        <v>0.71436574739699943</v>
      </c>
    </row>
    <row r="538" spans="1:8" x14ac:dyDescent="0.2">
      <c r="A538">
        <v>39188</v>
      </c>
      <c r="B538">
        <v>38238.1</v>
      </c>
      <c r="C538">
        <v>28.1126</v>
      </c>
      <c r="D538">
        <v>27.9924</v>
      </c>
      <c r="E538">
        <v>719.28599999999994</v>
      </c>
      <c r="F538">
        <v>730.16899999999998</v>
      </c>
      <c r="G538">
        <f t="shared" si="25"/>
        <v>0.95182998448636336</v>
      </c>
      <c r="H538">
        <f t="shared" si="26"/>
        <v>0.67595888972506535</v>
      </c>
    </row>
    <row r="539" spans="1:8" x14ac:dyDescent="0.2">
      <c r="A539">
        <v>25706.799999999999</v>
      </c>
      <c r="B539">
        <v>25739.7</v>
      </c>
      <c r="C539">
        <v>26.576499999999999</v>
      </c>
      <c r="D539">
        <v>22.765599999999999</v>
      </c>
      <c r="E539">
        <v>575.69100000000003</v>
      </c>
      <c r="F539">
        <v>575.91800000000001</v>
      </c>
      <c r="G539">
        <f t="shared" si="25"/>
        <v>0.97471721377730614</v>
      </c>
      <c r="H539">
        <f t="shared" si="26"/>
        <v>0.73139659920981925</v>
      </c>
    </row>
    <row r="540" spans="1:8" x14ac:dyDescent="0.2">
      <c r="A540">
        <v>29993.599999999999</v>
      </c>
      <c r="B540">
        <v>25816.5</v>
      </c>
      <c r="C540">
        <v>32.7346</v>
      </c>
      <c r="D540">
        <v>35.085099999999997</v>
      </c>
      <c r="E540">
        <v>658.69899999999996</v>
      </c>
      <c r="F540">
        <v>615.28399999999999</v>
      </c>
      <c r="G540">
        <f t="shared" si="25"/>
        <v>0.86868852417186904</v>
      </c>
      <c r="H540">
        <f t="shared" si="26"/>
        <v>0.64271269870170944</v>
      </c>
    </row>
    <row r="541" spans="1:8" x14ac:dyDescent="0.2">
      <c r="A541">
        <v>3454.79</v>
      </c>
      <c r="B541">
        <v>38346.800000000003</v>
      </c>
      <c r="C541">
        <v>242.93799999999999</v>
      </c>
      <c r="D541">
        <v>23.6737</v>
      </c>
      <c r="E541">
        <v>1189.1400000000001</v>
      </c>
      <c r="F541">
        <v>711.85799999999995</v>
      </c>
      <c r="G541">
        <f t="shared" si="25"/>
        <v>3.0701894495397217E-2</v>
      </c>
      <c r="H541">
        <f t="shared" si="26"/>
        <v>0.71320297942778543</v>
      </c>
    </row>
    <row r="542" spans="1:8" x14ac:dyDescent="0.2">
      <c r="A542">
        <v>2166.1999999999998</v>
      </c>
      <c r="B542">
        <v>18165.099999999999</v>
      </c>
      <c r="C542">
        <v>63.147100000000002</v>
      </c>
      <c r="D542">
        <v>30.994199999999999</v>
      </c>
      <c r="E542">
        <v>707.68100000000004</v>
      </c>
      <c r="F542">
        <v>496.28100000000001</v>
      </c>
      <c r="G542">
        <f t="shared" si="25"/>
        <v>5.4354183629836267E-2</v>
      </c>
      <c r="H542">
        <f t="shared" si="26"/>
        <v>0.69510955166618671</v>
      </c>
    </row>
    <row r="543" spans="1:8" x14ac:dyDescent="0.2">
      <c r="A543">
        <v>3492.36</v>
      </c>
      <c r="B543">
        <v>24310.1</v>
      </c>
      <c r="C543">
        <v>99.242500000000007</v>
      </c>
      <c r="D543">
        <v>21.4389</v>
      </c>
      <c r="E543">
        <v>1181.4100000000001</v>
      </c>
      <c r="F543">
        <v>559.31500000000005</v>
      </c>
      <c r="G543">
        <f t="shared" si="25"/>
        <v>3.1443234695154768E-2</v>
      </c>
      <c r="H543">
        <f t="shared" si="26"/>
        <v>0.73239365411679191</v>
      </c>
    </row>
    <row r="544" spans="1:8" x14ac:dyDescent="0.2">
      <c r="A544">
        <v>2766.17</v>
      </c>
      <c r="B544">
        <v>27451.8</v>
      </c>
      <c r="C544">
        <v>113.065</v>
      </c>
      <c r="D544">
        <v>26.724599999999999</v>
      </c>
      <c r="E544">
        <v>908.27</v>
      </c>
      <c r="F544">
        <v>602.91399999999999</v>
      </c>
      <c r="G544">
        <f t="shared" si="25"/>
        <v>4.2136496684385377E-2</v>
      </c>
      <c r="H544">
        <f t="shared" si="26"/>
        <v>0.71175552931400055</v>
      </c>
    </row>
    <row r="545" spans="1:8" x14ac:dyDescent="0.2">
      <c r="A545">
        <v>33650.699999999997</v>
      </c>
      <c r="B545">
        <v>22597.4</v>
      </c>
      <c r="C545">
        <v>40.490299999999998</v>
      </c>
      <c r="D545">
        <v>27.486799999999999</v>
      </c>
      <c r="E545">
        <v>718.19200000000001</v>
      </c>
      <c r="F545">
        <v>543.16800000000001</v>
      </c>
      <c r="G545">
        <f t="shared" si="25"/>
        <v>0.81982748418029272</v>
      </c>
      <c r="H545">
        <f t="shared" si="26"/>
        <v>0.72187313816069032</v>
      </c>
    </row>
    <row r="546" spans="1:8" x14ac:dyDescent="0.2">
      <c r="A546">
        <v>32161.8</v>
      </c>
      <c r="B546">
        <v>29749.4</v>
      </c>
      <c r="C546">
        <v>27.778600000000001</v>
      </c>
      <c r="D546">
        <v>35.6252</v>
      </c>
      <c r="E546">
        <v>651.61400000000003</v>
      </c>
      <c r="F546">
        <v>655.89599999999996</v>
      </c>
      <c r="G546">
        <f t="shared" si="25"/>
        <v>0.9518511323872958</v>
      </c>
      <c r="H546">
        <f t="shared" si="26"/>
        <v>0.65174694925927079</v>
      </c>
    </row>
    <row r="547" spans="1:8" x14ac:dyDescent="0.2">
      <c r="A547">
        <v>34269.1</v>
      </c>
      <c r="B547">
        <v>25198.6</v>
      </c>
      <c r="C547">
        <v>29.460100000000001</v>
      </c>
      <c r="D547">
        <v>22.041499999999999</v>
      </c>
      <c r="E547">
        <v>669.52200000000005</v>
      </c>
      <c r="F547">
        <v>567.99699999999996</v>
      </c>
      <c r="G547">
        <f t="shared" si="25"/>
        <v>0.96068827807969481</v>
      </c>
      <c r="H547">
        <f t="shared" si="26"/>
        <v>0.73613096995177174</v>
      </c>
    </row>
    <row r="548" spans="1:8" x14ac:dyDescent="0.2">
      <c r="A548">
        <v>3775.83</v>
      </c>
      <c r="B548">
        <v>22640.1</v>
      </c>
      <c r="C548">
        <v>109.95699999999999</v>
      </c>
      <c r="D548">
        <v>25.114000000000001</v>
      </c>
      <c r="E548">
        <v>1061.05</v>
      </c>
      <c r="F548">
        <v>538.428</v>
      </c>
      <c r="G548">
        <f t="shared" si="25"/>
        <v>4.2145404896929993E-2</v>
      </c>
      <c r="H548">
        <f t="shared" si="26"/>
        <v>0.73602713941951414</v>
      </c>
    </row>
    <row r="549" spans="1:8" x14ac:dyDescent="0.2">
      <c r="A549">
        <v>9781.67</v>
      </c>
      <c r="B549">
        <v>29818.3</v>
      </c>
      <c r="C549">
        <v>174.834</v>
      </c>
      <c r="D549">
        <v>28.732299999999999</v>
      </c>
      <c r="E549">
        <v>1426.55</v>
      </c>
      <c r="F549">
        <v>630.51099999999997</v>
      </c>
      <c r="G549">
        <f t="shared" si="25"/>
        <v>6.0401609060417277E-2</v>
      </c>
      <c r="H549">
        <f t="shared" si="26"/>
        <v>0.70691680334385587</v>
      </c>
    </row>
    <row r="550" spans="1:8" x14ac:dyDescent="0.2">
      <c r="A550">
        <v>31267.1</v>
      </c>
      <c r="B550">
        <v>27942.400000000001</v>
      </c>
      <c r="C550">
        <v>34.407200000000003</v>
      </c>
      <c r="D550">
        <v>24.999700000000001</v>
      </c>
      <c r="E550">
        <v>642.548</v>
      </c>
      <c r="F550">
        <v>602.10299999999995</v>
      </c>
      <c r="G550">
        <f t="shared" si="25"/>
        <v>0.95166905446822769</v>
      </c>
      <c r="H550">
        <f t="shared" si="26"/>
        <v>0.72642851538137121</v>
      </c>
    </row>
    <row r="551" spans="1:8" x14ac:dyDescent="0.2">
      <c r="A551">
        <v>31890.400000000001</v>
      </c>
      <c r="B551">
        <v>24454.1</v>
      </c>
      <c r="C551">
        <v>27.261099999999999</v>
      </c>
      <c r="D551">
        <v>30.371200000000002</v>
      </c>
      <c r="E551">
        <v>648.15300000000002</v>
      </c>
      <c r="F551">
        <v>569.83199999999999</v>
      </c>
      <c r="G551">
        <f t="shared" si="25"/>
        <v>0.95392535594464878</v>
      </c>
      <c r="H551">
        <f t="shared" si="26"/>
        <v>0.7097882014782545</v>
      </c>
    </row>
    <row r="552" spans="1:8" x14ac:dyDescent="0.2">
      <c r="A552">
        <v>24516.7</v>
      </c>
      <c r="B552">
        <v>25305.599999999999</v>
      </c>
      <c r="C552">
        <v>25.9513</v>
      </c>
      <c r="D552">
        <v>26.383900000000001</v>
      </c>
      <c r="E552">
        <v>574.63</v>
      </c>
      <c r="F552">
        <v>569.66399999999999</v>
      </c>
      <c r="G552">
        <f t="shared" si="25"/>
        <v>0.93302851906315953</v>
      </c>
      <c r="H552">
        <f t="shared" si="26"/>
        <v>0.73493655536709879</v>
      </c>
    </row>
    <row r="553" spans="1:8" x14ac:dyDescent="0.2">
      <c r="A553">
        <v>25723</v>
      </c>
      <c r="B553">
        <v>37854.1</v>
      </c>
      <c r="C553">
        <v>36.850700000000003</v>
      </c>
      <c r="D553">
        <v>27.268999999999998</v>
      </c>
      <c r="E553">
        <v>585.399</v>
      </c>
      <c r="F553">
        <v>709.58699999999999</v>
      </c>
      <c r="G553">
        <f t="shared" si="25"/>
        <v>0.94325075714100381</v>
      </c>
      <c r="H553">
        <f t="shared" si="26"/>
        <v>0.70855307128346767</v>
      </c>
    </row>
    <row r="554" spans="1:8" x14ac:dyDescent="0.2">
      <c r="A554">
        <v>36878.5</v>
      </c>
      <c r="B554">
        <v>42051.7</v>
      </c>
      <c r="C554">
        <v>60.107799999999997</v>
      </c>
      <c r="D554">
        <v>48.498100000000001</v>
      </c>
      <c r="E554">
        <v>750.99199999999996</v>
      </c>
      <c r="F554">
        <v>798.81700000000001</v>
      </c>
      <c r="G554">
        <f t="shared" si="25"/>
        <v>0.82169779969924261</v>
      </c>
      <c r="H554">
        <f t="shared" si="26"/>
        <v>0.62109741339699953</v>
      </c>
    </row>
    <row r="555" spans="1:8" x14ac:dyDescent="0.2">
      <c r="A555">
        <v>6934.53</v>
      </c>
      <c r="B555">
        <v>8613.58</v>
      </c>
      <c r="C555">
        <v>164.37799999999999</v>
      </c>
      <c r="D555">
        <v>151.334</v>
      </c>
      <c r="E555">
        <v>1118.5999999999999</v>
      </c>
      <c r="F555">
        <v>1336.82</v>
      </c>
      <c r="G555">
        <f t="shared" si="25"/>
        <v>6.9642908219768082E-2</v>
      </c>
      <c r="H555">
        <f t="shared" si="26"/>
        <v>4.5426427484959078E-2</v>
      </c>
    </row>
    <row r="556" spans="1:8" x14ac:dyDescent="0.2">
      <c r="A556">
        <v>19585.7</v>
      </c>
      <c r="B556">
        <v>23608.799999999999</v>
      </c>
      <c r="C556">
        <v>26.364000000000001</v>
      </c>
      <c r="D556">
        <v>23.206499999999998</v>
      </c>
      <c r="E556">
        <v>504.90499999999997</v>
      </c>
      <c r="F556">
        <v>552.803</v>
      </c>
      <c r="G556">
        <f t="shared" si="25"/>
        <v>0.9654488114980404</v>
      </c>
      <c r="H556">
        <f t="shared" si="26"/>
        <v>0.72812156051711663</v>
      </c>
    </row>
    <row r="557" spans="1:8" x14ac:dyDescent="0.2">
      <c r="A557">
        <v>27315.7</v>
      </c>
      <c r="B557">
        <v>25458.799999999999</v>
      </c>
      <c r="C557">
        <v>27.709499999999998</v>
      </c>
      <c r="D557">
        <v>36.334699999999998</v>
      </c>
      <c r="E557">
        <v>595.89</v>
      </c>
      <c r="F557">
        <v>606.34</v>
      </c>
      <c r="G557">
        <f t="shared" si="25"/>
        <v>0.96669536634448106</v>
      </c>
      <c r="H557">
        <f t="shared" si="26"/>
        <v>0.65264385177904549</v>
      </c>
    </row>
    <row r="558" spans="1:8" x14ac:dyDescent="0.2">
      <c r="A558">
        <v>29181.599999999999</v>
      </c>
      <c r="B558">
        <v>20343.599999999999</v>
      </c>
      <c r="C558">
        <v>31.380800000000001</v>
      </c>
      <c r="D558">
        <v>28.350999999999999</v>
      </c>
      <c r="E558">
        <v>635.24400000000003</v>
      </c>
      <c r="F558">
        <v>512.33600000000001</v>
      </c>
      <c r="G558">
        <f t="shared" si="25"/>
        <v>0.90873541556935111</v>
      </c>
      <c r="H558">
        <f t="shared" si="26"/>
        <v>0.7304471890479336</v>
      </c>
    </row>
    <row r="559" spans="1:8" x14ac:dyDescent="0.2">
      <c r="A559">
        <v>27836.6</v>
      </c>
      <c r="B559">
        <v>30127.5</v>
      </c>
      <c r="C559">
        <v>35.5916</v>
      </c>
      <c r="D559">
        <v>25.134699999999999</v>
      </c>
      <c r="E559">
        <v>618.72900000000004</v>
      </c>
      <c r="F559">
        <v>629.59400000000005</v>
      </c>
      <c r="G559">
        <f t="shared" si="25"/>
        <v>0.91374442883822116</v>
      </c>
      <c r="H559">
        <f t="shared" si="26"/>
        <v>0.7163292655511071</v>
      </c>
    </row>
    <row r="560" spans="1:8" x14ac:dyDescent="0.2">
      <c r="A560">
        <v>25911.9</v>
      </c>
      <c r="B560">
        <v>25819.9</v>
      </c>
      <c r="C560">
        <v>29.089099999999998</v>
      </c>
      <c r="D560">
        <v>20.302900000000001</v>
      </c>
      <c r="E560">
        <v>592.38400000000001</v>
      </c>
      <c r="F560">
        <v>575.601</v>
      </c>
      <c r="G560">
        <f t="shared" si="25"/>
        <v>0.92790201173938436</v>
      </c>
      <c r="H560">
        <f t="shared" si="26"/>
        <v>0.73448382648025867</v>
      </c>
    </row>
    <row r="561" spans="1:8" x14ac:dyDescent="0.2">
      <c r="A561">
        <v>26997.4</v>
      </c>
      <c r="B561">
        <v>22923.9</v>
      </c>
      <c r="C561">
        <v>28.993300000000001</v>
      </c>
      <c r="D561">
        <v>27.2302</v>
      </c>
      <c r="E561">
        <v>637.84799999999996</v>
      </c>
      <c r="F561">
        <v>549.71299999999997</v>
      </c>
      <c r="G561">
        <f t="shared" si="25"/>
        <v>0.83386748967109758</v>
      </c>
      <c r="H561">
        <f t="shared" si="26"/>
        <v>0.71496906395108284</v>
      </c>
    </row>
    <row r="562" spans="1:8" x14ac:dyDescent="0.2">
      <c r="A562">
        <v>22904.1</v>
      </c>
      <c r="B562">
        <v>25431.4</v>
      </c>
      <c r="C562">
        <v>30.247299999999999</v>
      </c>
      <c r="D562">
        <v>29.8902</v>
      </c>
      <c r="E562">
        <v>544.24900000000002</v>
      </c>
      <c r="F562">
        <v>571.73699999999997</v>
      </c>
      <c r="G562">
        <f t="shared" si="25"/>
        <v>0.97168936365093217</v>
      </c>
      <c r="H562">
        <f t="shared" si="26"/>
        <v>0.73324385546217541</v>
      </c>
    </row>
    <row r="563" spans="1:8" x14ac:dyDescent="0.2">
      <c r="A563">
        <v>4157.1000000000004</v>
      </c>
      <c r="B563">
        <v>27038.2</v>
      </c>
      <c r="C563">
        <v>205.05699999999999</v>
      </c>
      <c r="D563">
        <v>20.203499999999998</v>
      </c>
      <c r="E563">
        <v>1132.1300000000001</v>
      </c>
      <c r="F563">
        <v>587.01099999999997</v>
      </c>
      <c r="G563">
        <f t="shared" si="25"/>
        <v>4.0757484426998364E-2</v>
      </c>
      <c r="H563">
        <f t="shared" si="26"/>
        <v>0.73953044478276586</v>
      </c>
    </row>
    <row r="564" spans="1:8" x14ac:dyDescent="0.2">
      <c r="A564">
        <v>29427.7</v>
      </c>
      <c r="B564">
        <v>27865.7</v>
      </c>
      <c r="C564">
        <v>33.964199999999998</v>
      </c>
      <c r="D564">
        <v>26.9787</v>
      </c>
      <c r="E564">
        <v>625.88900000000001</v>
      </c>
      <c r="F564">
        <v>599.20000000000005</v>
      </c>
      <c r="G564">
        <f t="shared" si="25"/>
        <v>0.94399822868160888</v>
      </c>
      <c r="H564">
        <f t="shared" si="26"/>
        <v>0.73147099277953576</v>
      </c>
    </row>
    <row r="565" spans="1:8" x14ac:dyDescent="0.2">
      <c r="A565">
        <v>29028.2</v>
      </c>
      <c r="B565">
        <v>29748.2</v>
      </c>
      <c r="C565">
        <v>23.2105</v>
      </c>
      <c r="D565">
        <v>27.708400000000001</v>
      </c>
      <c r="E565">
        <v>614.58000000000004</v>
      </c>
      <c r="F565">
        <v>636.53599999999994</v>
      </c>
      <c r="G565">
        <f t="shared" si="25"/>
        <v>0.9657678806998885</v>
      </c>
      <c r="H565">
        <f t="shared" si="26"/>
        <v>0.69196720464528805</v>
      </c>
    </row>
    <row r="566" spans="1:8" x14ac:dyDescent="0.2">
      <c r="A566">
        <v>18939.900000000001</v>
      </c>
      <c r="B566">
        <v>26900.2</v>
      </c>
      <c r="C566">
        <v>29.7653</v>
      </c>
      <c r="D566">
        <v>32.076000000000001</v>
      </c>
      <c r="E566">
        <v>504.73500000000001</v>
      </c>
      <c r="F566">
        <v>604.43899999999996</v>
      </c>
      <c r="G566">
        <f t="shared" si="25"/>
        <v>0.93424404107167947</v>
      </c>
      <c r="H566">
        <f t="shared" si="26"/>
        <v>0.69393902686330333</v>
      </c>
    </row>
    <row r="567" spans="1:8" x14ac:dyDescent="0.2">
      <c r="A567">
        <v>23225.4</v>
      </c>
      <c r="B567">
        <v>26894.9</v>
      </c>
      <c r="C567">
        <v>41.283200000000001</v>
      </c>
      <c r="D567">
        <v>27.8828</v>
      </c>
      <c r="E567">
        <v>592.42499999999995</v>
      </c>
      <c r="F567">
        <v>593.80399999999997</v>
      </c>
      <c r="G567">
        <f t="shared" si="25"/>
        <v>0.83158365607726936</v>
      </c>
      <c r="H567">
        <f t="shared" si="26"/>
        <v>0.71887678150032408</v>
      </c>
    </row>
    <row r="568" spans="1:8" x14ac:dyDescent="0.2">
      <c r="A568">
        <v>22879.3</v>
      </c>
      <c r="B568">
        <v>23865.8</v>
      </c>
      <c r="C568">
        <v>34.944800000000001</v>
      </c>
      <c r="D568">
        <v>167.11099999999999</v>
      </c>
      <c r="E568">
        <v>607.31799999999998</v>
      </c>
      <c r="F568">
        <v>1100.5999999999999</v>
      </c>
      <c r="G568">
        <f t="shared" si="25"/>
        <v>0.77950682822073947</v>
      </c>
      <c r="H568">
        <f t="shared" si="26"/>
        <v>0.18568966831037167</v>
      </c>
    </row>
    <row r="569" spans="1:8" x14ac:dyDescent="0.2">
      <c r="A569">
        <v>32187.200000000001</v>
      </c>
      <c r="B569">
        <v>3695.81</v>
      </c>
      <c r="C569">
        <v>31.796900000000001</v>
      </c>
      <c r="D569">
        <v>431.255</v>
      </c>
      <c r="E569">
        <v>655.30499999999995</v>
      </c>
      <c r="F569">
        <v>1971.03</v>
      </c>
      <c r="G569">
        <f t="shared" si="25"/>
        <v>0.94190202905624243</v>
      </c>
      <c r="H569">
        <f t="shared" si="26"/>
        <v>8.9659007661333067E-3</v>
      </c>
    </row>
    <row r="570" spans="1:8" x14ac:dyDescent="0.2">
      <c r="A570">
        <v>25339.7</v>
      </c>
      <c r="B570">
        <v>28236.5</v>
      </c>
      <c r="C570">
        <v>28.71</v>
      </c>
      <c r="D570">
        <v>23.118200000000002</v>
      </c>
      <c r="E570">
        <v>571.96</v>
      </c>
      <c r="F570">
        <v>602.65800000000002</v>
      </c>
      <c r="G570">
        <f t="shared" si="25"/>
        <v>0.97337379737263929</v>
      </c>
      <c r="H570">
        <f t="shared" si="26"/>
        <v>0.73272291234110865</v>
      </c>
    </row>
    <row r="571" spans="1:8" x14ac:dyDescent="0.2">
      <c r="A571">
        <v>27304.6</v>
      </c>
      <c r="B571">
        <v>22128.3</v>
      </c>
      <c r="C571">
        <v>24.768699999999999</v>
      </c>
      <c r="D571">
        <v>24.724499999999999</v>
      </c>
      <c r="E571">
        <v>596.08500000000004</v>
      </c>
      <c r="F571">
        <v>534.15499999999997</v>
      </c>
      <c r="G571">
        <f t="shared" si="25"/>
        <v>0.96567042180502538</v>
      </c>
      <c r="H571">
        <f t="shared" si="26"/>
        <v>0.73094418469094891</v>
      </c>
    </row>
    <row r="572" spans="1:8" x14ac:dyDescent="0.2">
      <c r="A572">
        <v>25591.4</v>
      </c>
      <c r="B572">
        <v>48804.4</v>
      </c>
      <c r="C572">
        <v>30.321300000000001</v>
      </c>
      <c r="D572">
        <v>40.366999999999997</v>
      </c>
      <c r="E572">
        <v>578.97400000000005</v>
      </c>
      <c r="F572">
        <v>827.53</v>
      </c>
      <c r="G572">
        <f t="shared" si="25"/>
        <v>0.95936842247795118</v>
      </c>
      <c r="H572">
        <f t="shared" si="26"/>
        <v>0.67167973345949294</v>
      </c>
    </row>
    <row r="573" spans="1:8" x14ac:dyDescent="0.2">
      <c r="A573">
        <v>29778.7</v>
      </c>
      <c r="B573">
        <v>33781.1</v>
      </c>
      <c r="C573">
        <v>35.157899999999998</v>
      </c>
      <c r="D573">
        <v>26.753699999999998</v>
      </c>
      <c r="E573">
        <v>633.52300000000002</v>
      </c>
      <c r="F573">
        <v>683.83299999999997</v>
      </c>
      <c r="G573">
        <f t="shared" si="25"/>
        <v>0.93237465330915914</v>
      </c>
      <c r="H573">
        <f t="shared" si="26"/>
        <v>0.68083902016490405</v>
      </c>
    </row>
    <row r="574" spans="1:8" x14ac:dyDescent="0.2">
      <c r="A574">
        <v>29188.2</v>
      </c>
      <c r="B574">
        <v>35399.1</v>
      </c>
      <c r="C574">
        <v>28.921900000000001</v>
      </c>
      <c r="D574">
        <v>29.879000000000001</v>
      </c>
      <c r="E574">
        <v>622.59199999999998</v>
      </c>
      <c r="F574">
        <v>699.75800000000004</v>
      </c>
      <c r="G574">
        <f t="shared" si="25"/>
        <v>0.94625838036930132</v>
      </c>
      <c r="H574">
        <f t="shared" si="26"/>
        <v>0.68134525628066167</v>
      </c>
    </row>
    <row r="575" spans="1:8" x14ac:dyDescent="0.2">
      <c r="A575">
        <v>33193</v>
      </c>
      <c r="B575">
        <v>35245.199999999997</v>
      </c>
      <c r="C575">
        <v>26.0884</v>
      </c>
      <c r="D575">
        <v>26.585899999999999</v>
      </c>
      <c r="E575">
        <v>662.12300000000005</v>
      </c>
      <c r="F575">
        <v>700.26199999999994</v>
      </c>
      <c r="G575">
        <f t="shared" si="25"/>
        <v>0.9514339732211925</v>
      </c>
      <c r="H575">
        <f t="shared" si="26"/>
        <v>0.6774069066341365</v>
      </c>
    </row>
    <row r="576" spans="1:8" x14ac:dyDescent="0.2">
      <c r="A576">
        <v>5090.0600000000004</v>
      </c>
      <c r="B576">
        <v>44951.7</v>
      </c>
      <c r="C576">
        <v>160.435</v>
      </c>
      <c r="D576">
        <v>33.256700000000002</v>
      </c>
      <c r="E576">
        <v>1250.01</v>
      </c>
      <c r="F576">
        <v>771.149</v>
      </c>
      <c r="G576">
        <f t="shared" si="25"/>
        <v>4.0936001905573609E-2</v>
      </c>
      <c r="H576">
        <f t="shared" si="26"/>
        <v>0.71242685484866453</v>
      </c>
    </row>
    <row r="577" spans="1:8" x14ac:dyDescent="0.2">
      <c r="A577">
        <v>3930.87</v>
      </c>
      <c r="B577">
        <v>21673.3</v>
      </c>
      <c r="C577">
        <v>85.995599999999996</v>
      </c>
      <c r="D577">
        <v>26.972000000000001</v>
      </c>
      <c r="E577">
        <v>1056.6099999999999</v>
      </c>
      <c r="F577">
        <v>529.43200000000002</v>
      </c>
      <c r="G577">
        <f t="shared" si="25"/>
        <v>4.4245463113400448E-2</v>
      </c>
      <c r="H577">
        <f t="shared" si="26"/>
        <v>0.72874473178559307</v>
      </c>
    </row>
    <row r="578" spans="1:8" x14ac:dyDescent="0.2">
      <c r="A578">
        <v>32260.799999999999</v>
      </c>
      <c r="B578">
        <v>23454.7</v>
      </c>
      <c r="C578">
        <v>33.067</v>
      </c>
      <c r="D578">
        <v>25.199200000000001</v>
      </c>
      <c r="E578">
        <v>658.90099999999995</v>
      </c>
      <c r="F578">
        <v>551.30600000000004</v>
      </c>
      <c r="G578">
        <f t="shared" si="25"/>
        <v>0.93377941687962696</v>
      </c>
      <c r="H578">
        <f t="shared" si="26"/>
        <v>0.72730270854289136</v>
      </c>
    </row>
    <row r="579" spans="1:8" x14ac:dyDescent="0.2">
      <c r="A579">
        <v>43892.800000000003</v>
      </c>
      <c r="B579">
        <v>21769.200000000001</v>
      </c>
      <c r="C579">
        <v>55.2759</v>
      </c>
      <c r="D579">
        <v>25.344999999999999</v>
      </c>
      <c r="E579">
        <v>1043.0999999999999</v>
      </c>
      <c r="F579">
        <v>534.58600000000001</v>
      </c>
      <c r="G579">
        <f t="shared" ref="G579:G642" si="27" xml:space="preserve"> 3.14159*4*A579/(E579*E579)</f>
        <v>0.50693338398506316</v>
      </c>
      <c r="H579">
        <f t="shared" ref="H579:H642" si="28" xml:space="preserve"> 3*3.14159*B579/(F579*F579)</f>
        <v>0.71792333203751768</v>
      </c>
    </row>
    <row r="580" spans="1:8" x14ac:dyDescent="0.2">
      <c r="A580">
        <v>38852.400000000001</v>
      </c>
      <c r="B580">
        <v>23687.599999999999</v>
      </c>
      <c r="C580">
        <v>27.8902</v>
      </c>
      <c r="D580">
        <v>25.124700000000001</v>
      </c>
      <c r="E580">
        <v>718.17399999999998</v>
      </c>
      <c r="F580">
        <v>553.721</v>
      </c>
      <c r="G580">
        <f t="shared" si="27"/>
        <v>0.94660325131294365</v>
      </c>
      <c r="H580">
        <f t="shared" si="28"/>
        <v>0.72813152109010881</v>
      </c>
    </row>
    <row r="581" spans="1:8" x14ac:dyDescent="0.2">
      <c r="A581">
        <v>38668.300000000003</v>
      </c>
      <c r="B581">
        <v>19377</v>
      </c>
      <c r="C581">
        <v>27.7973</v>
      </c>
      <c r="D581">
        <v>29.758500000000002</v>
      </c>
      <c r="E581">
        <v>713.29899999999998</v>
      </c>
      <c r="F581">
        <v>503.97</v>
      </c>
      <c r="G581">
        <f t="shared" si="27"/>
        <v>0.95503952637452905</v>
      </c>
      <c r="H581">
        <f t="shared" si="28"/>
        <v>0.71903152225097811</v>
      </c>
    </row>
    <row r="582" spans="1:8" x14ac:dyDescent="0.2">
      <c r="A582">
        <v>25358.799999999999</v>
      </c>
      <c r="B582">
        <v>20636</v>
      </c>
      <c r="C582">
        <v>26.534199999999998</v>
      </c>
      <c r="D582">
        <v>27.988299999999999</v>
      </c>
      <c r="E582">
        <v>572.16700000000003</v>
      </c>
      <c r="F582">
        <v>516.36099999999999</v>
      </c>
      <c r="G582">
        <f t="shared" si="27"/>
        <v>0.97340278303913297</v>
      </c>
      <c r="H582">
        <f t="shared" si="28"/>
        <v>0.72943972879050512</v>
      </c>
    </row>
    <row r="583" spans="1:8" x14ac:dyDescent="0.2">
      <c r="A583">
        <v>29551.7</v>
      </c>
      <c r="B583">
        <v>18648.2</v>
      </c>
      <c r="C583">
        <v>28.605</v>
      </c>
      <c r="D583">
        <v>28.616099999999999</v>
      </c>
      <c r="E583">
        <v>651.16099999999994</v>
      </c>
      <c r="F583">
        <v>507.44299999999998</v>
      </c>
      <c r="G583">
        <f t="shared" si="27"/>
        <v>0.87582069609060831</v>
      </c>
      <c r="H583">
        <f t="shared" si="28"/>
        <v>0.68254791916820212</v>
      </c>
    </row>
    <row r="584" spans="1:8" x14ac:dyDescent="0.2">
      <c r="A584">
        <v>31134.6</v>
      </c>
      <c r="B584">
        <v>1768.05</v>
      </c>
      <c r="C584">
        <v>22.901800000000001</v>
      </c>
      <c r="D584">
        <v>64.640199999999993</v>
      </c>
      <c r="E584">
        <v>636.18200000000002</v>
      </c>
      <c r="F584">
        <v>826.27099999999996</v>
      </c>
      <c r="G584">
        <f t="shared" si="27"/>
        <v>0.96669624912655649</v>
      </c>
      <c r="H584">
        <f t="shared" si="28"/>
        <v>2.4407330522230129E-2</v>
      </c>
    </row>
    <row r="585" spans="1:8" x14ac:dyDescent="0.2">
      <c r="A585">
        <v>26409.4</v>
      </c>
      <c r="B585">
        <v>21299.200000000001</v>
      </c>
      <c r="C585">
        <v>25.865600000000001</v>
      </c>
      <c r="D585">
        <v>29.4193</v>
      </c>
      <c r="E585">
        <v>588.72799999999995</v>
      </c>
      <c r="F585">
        <v>526.94799999999998</v>
      </c>
      <c r="G585">
        <f t="shared" si="27"/>
        <v>0.95749970503322035</v>
      </c>
      <c r="H585">
        <f t="shared" si="28"/>
        <v>0.72293380160150789</v>
      </c>
    </row>
    <row r="586" spans="1:8" x14ac:dyDescent="0.2">
      <c r="A586">
        <v>3674.78</v>
      </c>
      <c r="B586">
        <v>17807.7</v>
      </c>
      <c r="C586">
        <v>78.884600000000006</v>
      </c>
      <c r="D586">
        <v>27.280100000000001</v>
      </c>
      <c r="E586">
        <v>978.92399999999998</v>
      </c>
      <c r="F586">
        <v>479.20100000000002</v>
      </c>
      <c r="G586">
        <f t="shared" si="27"/>
        <v>4.8188442427029146E-2</v>
      </c>
      <c r="H586">
        <f t="shared" si="28"/>
        <v>0.73087508926250011</v>
      </c>
    </row>
    <row r="587" spans="1:8" x14ac:dyDescent="0.2">
      <c r="A587">
        <v>41822.1</v>
      </c>
      <c r="B587">
        <v>23502</v>
      </c>
      <c r="C587">
        <v>26.290800000000001</v>
      </c>
      <c r="D587">
        <v>31.135000000000002</v>
      </c>
      <c r="E587">
        <v>775.78</v>
      </c>
      <c r="F587">
        <v>553.31399999999996</v>
      </c>
      <c r="G587">
        <f t="shared" si="27"/>
        <v>0.87324915719486229</v>
      </c>
      <c r="H587">
        <f t="shared" si="28"/>
        <v>0.72348955348185495</v>
      </c>
    </row>
    <row r="588" spans="1:8" x14ac:dyDescent="0.2">
      <c r="A588">
        <v>22719.8</v>
      </c>
      <c r="B588">
        <v>19428.599999999999</v>
      </c>
      <c r="C588">
        <v>28.607600000000001</v>
      </c>
      <c r="D588">
        <v>27.731000000000002</v>
      </c>
      <c r="E588">
        <v>561.96199999999999</v>
      </c>
      <c r="F588">
        <v>518.96199999999999</v>
      </c>
      <c r="G588">
        <f t="shared" si="27"/>
        <v>0.90406592839016153</v>
      </c>
      <c r="H588">
        <f t="shared" si="28"/>
        <v>0.67989390882708689</v>
      </c>
    </row>
    <row r="589" spans="1:8" x14ac:dyDescent="0.2">
      <c r="A589">
        <v>26476.9</v>
      </c>
      <c r="B589">
        <v>23826.9</v>
      </c>
      <c r="C589">
        <v>27.536300000000001</v>
      </c>
      <c r="D589">
        <v>24.9589</v>
      </c>
      <c r="E589">
        <v>594.15800000000002</v>
      </c>
      <c r="F589">
        <v>555.44899999999996</v>
      </c>
      <c r="G589">
        <f t="shared" si="27"/>
        <v>0.94248128322821412</v>
      </c>
      <c r="H589">
        <f t="shared" si="28"/>
        <v>0.72786347114556338</v>
      </c>
    </row>
    <row r="590" spans="1:8" x14ac:dyDescent="0.2">
      <c r="A590">
        <v>31343.4</v>
      </c>
      <c r="B590">
        <v>27928.6</v>
      </c>
      <c r="C590">
        <v>27.155100000000001</v>
      </c>
      <c r="D590">
        <v>27.249500000000001</v>
      </c>
      <c r="E590">
        <v>652.99599999999998</v>
      </c>
      <c r="F590">
        <v>603.76499999999999</v>
      </c>
      <c r="G590">
        <f t="shared" si="27"/>
        <v>0.92370769251635498</v>
      </c>
      <c r="H590">
        <f t="shared" si="28"/>
        <v>0.72207791056998594</v>
      </c>
    </row>
    <row r="591" spans="1:8" x14ac:dyDescent="0.2">
      <c r="A591">
        <v>28452.6</v>
      </c>
      <c r="B591">
        <v>25857.200000000001</v>
      </c>
      <c r="C591">
        <v>34.511899999999997</v>
      </c>
      <c r="D591">
        <v>31.811399999999999</v>
      </c>
      <c r="E591">
        <v>615.74</v>
      </c>
      <c r="F591">
        <v>589.88499999999999</v>
      </c>
      <c r="G591">
        <f t="shared" si="27"/>
        <v>0.94305434609986105</v>
      </c>
      <c r="H591">
        <f t="shared" si="28"/>
        <v>0.70035389717226648</v>
      </c>
    </row>
    <row r="592" spans="1:8" x14ac:dyDescent="0.2">
      <c r="A592">
        <v>41581.300000000003</v>
      </c>
      <c r="B592">
        <v>21231.9</v>
      </c>
      <c r="C592">
        <v>26.2334</v>
      </c>
      <c r="D592">
        <v>33.103200000000001</v>
      </c>
      <c r="E592">
        <v>741.19799999999998</v>
      </c>
      <c r="F592">
        <v>526.36400000000003</v>
      </c>
      <c r="G592">
        <f t="shared" si="27"/>
        <v>0.95112825340851492</v>
      </c>
      <c r="H592">
        <f t="shared" si="28"/>
        <v>0.72224952255581965</v>
      </c>
    </row>
    <row r="593" spans="1:8" x14ac:dyDescent="0.2">
      <c r="A593">
        <v>37720.6</v>
      </c>
      <c r="B593">
        <v>20690.400000000001</v>
      </c>
      <c r="C593">
        <v>35.111600000000003</v>
      </c>
      <c r="D593">
        <v>35.1815</v>
      </c>
      <c r="E593">
        <v>735.62900000000002</v>
      </c>
      <c r="F593">
        <v>525.12300000000005</v>
      </c>
      <c r="G593">
        <f t="shared" si="27"/>
        <v>0.87593202726827468</v>
      </c>
      <c r="H593">
        <f t="shared" si="28"/>
        <v>0.7071598034313511</v>
      </c>
    </row>
    <row r="594" spans="1:8" x14ac:dyDescent="0.2">
      <c r="A594">
        <v>30204.3</v>
      </c>
      <c r="B594">
        <v>19014.7</v>
      </c>
      <c r="C594">
        <v>26.271899999999999</v>
      </c>
      <c r="D594">
        <v>33.212200000000003</v>
      </c>
      <c r="E594">
        <v>630.08900000000006</v>
      </c>
      <c r="F594">
        <v>502.18799999999999</v>
      </c>
      <c r="G594">
        <f t="shared" si="27"/>
        <v>0.95603650753660763</v>
      </c>
      <c r="H594">
        <f t="shared" si="28"/>
        <v>0.71060388366520666</v>
      </c>
    </row>
    <row r="595" spans="1:8" x14ac:dyDescent="0.2">
      <c r="A595">
        <v>30675.5</v>
      </c>
      <c r="B595">
        <v>19551.7</v>
      </c>
      <c r="C595">
        <v>32.689599999999999</v>
      </c>
      <c r="D595">
        <v>32.317399999999999</v>
      </c>
      <c r="E595">
        <v>639.08000000000004</v>
      </c>
      <c r="F595">
        <v>508.11799999999999</v>
      </c>
      <c r="G595">
        <f t="shared" si="27"/>
        <v>0.94382329991684799</v>
      </c>
      <c r="H595">
        <f t="shared" si="28"/>
        <v>0.71371713819416394</v>
      </c>
    </row>
    <row r="596" spans="1:8" x14ac:dyDescent="0.2">
      <c r="A596">
        <v>21498.3</v>
      </c>
      <c r="B596">
        <v>39895</v>
      </c>
      <c r="C596">
        <v>35.193100000000001</v>
      </c>
      <c r="D596">
        <v>31.1235</v>
      </c>
      <c r="E596">
        <v>544.75400000000002</v>
      </c>
      <c r="F596">
        <v>723.92</v>
      </c>
      <c r="G596">
        <f t="shared" si="27"/>
        <v>0.91035914754154557</v>
      </c>
      <c r="H596">
        <f t="shared" si="28"/>
        <v>0.71747715864939277</v>
      </c>
    </row>
    <row r="597" spans="1:8" x14ac:dyDescent="0.2">
      <c r="A597">
        <v>17678.8</v>
      </c>
      <c r="B597">
        <v>30196.6</v>
      </c>
      <c r="C597">
        <v>27.405100000000001</v>
      </c>
      <c r="D597">
        <v>35.812100000000001</v>
      </c>
      <c r="E597">
        <v>495.37900000000002</v>
      </c>
      <c r="F597">
        <v>632.66200000000003</v>
      </c>
      <c r="G597">
        <f t="shared" si="27"/>
        <v>0.90528869201630657</v>
      </c>
      <c r="H597">
        <f t="shared" si="28"/>
        <v>0.71102571356493038</v>
      </c>
    </row>
    <row r="598" spans="1:8" x14ac:dyDescent="0.2">
      <c r="A598">
        <v>30337.200000000001</v>
      </c>
      <c r="B598">
        <v>18509</v>
      </c>
      <c r="C598">
        <v>30.700500000000002</v>
      </c>
      <c r="D598">
        <v>33.273600000000002</v>
      </c>
      <c r="E598">
        <v>665.33100000000002</v>
      </c>
      <c r="F598">
        <v>510.48899999999998</v>
      </c>
      <c r="G598">
        <f t="shared" si="27"/>
        <v>0.86121081214551731</v>
      </c>
      <c r="H598">
        <f t="shared" si="28"/>
        <v>0.66939264974364121</v>
      </c>
    </row>
    <row r="599" spans="1:8" x14ac:dyDescent="0.2">
      <c r="A599">
        <v>19883.2</v>
      </c>
      <c r="B599">
        <v>23600.3</v>
      </c>
      <c r="C599">
        <v>32.084800000000001</v>
      </c>
      <c r="D599">
        <v>35.115499999999997</v>
      </c>
      <c r="E599">
        <v>558.56899999999996</v>
      </c>
      <c r="F599">
        <v>564.72</v>
      </c>
      <c r="G599">
        <f t="shared" si="27"/>
        <v>0.80083329328003927</v>
      </c>
      <c r="H599">
        <f t="shared" si="28"/>
        <v>0.69746424132119178</v>
      </c>
    </row>
    <row r="600" spans="1:8" x14ac:dyDescent="0.2">
      <c r="A600">
        <v>21453.1</v>
      </c>
      <c r="B600">
        <v>24636.9</v>
      </c>
      <c r="C600">
        <v>27.605499999999999</v>
      </c>
      <c r="D600">
        <v>30.532800000000002</v>
      </c>
      <c r="E600">
        <v>566.971</v>
      </c>
      <c r="F600">
        <v>565.87800000000004</v>
      </c>
      <c r="G600">
        <f t="shared" si="27"/>
        <v>0.83864442227003344</v>
      </c>
      <c r="H600">
        <f t="shared" si="28"/>
        <v>0.72512219997935756</v>
      </c>
    </row>
    <row r="601" spans="1:8" x14ac:dyDescent="0.2">
      <c r="A601">
        <v>23817.8</v>
      </c>
      <c r="B601">
        <v>29107.5</v>
      </c>
      <c r="C601">
        <v>27.450600000000001</v>
      </c>
      <c r="D601">
        <v>23.109000000000002</v>
      </c>
      <c r="E601">
        <v>572.66</v>
      </c>
      <c r="F601">
        <v>636.45699999999999</v>
      </c>
      <c r="G601">
        <f t="shared" si="27"/>
        <v>0.9126777087765765</v>
      </c>
      <c r="H601">
        <f t="shared" si="28"/>
        <v>0.67723209527373107</v>
      </c>
    </row>
    <row r="602" spans="1:8" x14ac:dyDescent="0.2">
      <c r="A602">
        <v>24558.7</v>
      </c>
      <c r="B602">
        <v>20668.099999999999</v>
      </c>
      <c r="C602">
        <v>33.583399999999997</v>
      </c>
      <c r="D602">
        <v>25.951899999999998</v>
      </c>
      <c r="E602">
        <v>573.17600000000004</v>
      </c>
      <c r="F602">
        <v>521.08900000000006</v>
      </c>
      <c r="G602">
        <f t="shared" si="27"/>
        <v>0.93937473725112153</v>
      </c>
      <c r="H602">
        <f t="shared" si="28"/>
        <v>0.71737709129410632</v>
      </c>
    </row>
    <row r="603" spans="1:8" x14ac:dyDescent="0.2">
      <c r="A603">
        <v>24372.400000000001</v>
      </c>
      <c r="B603">
        <v>21831.200000000001</v>
      </c>
      <c r="C603">
        <v>25.008600000000001</v>
      </c>
      <c r="D603">
        <v>29.105499999999999</v>
      </c>
      <c r="E603">
        <v>575.75800000000004</v>
      </c>
      <c r="F603">
        <v>531.87900000000002</v>
      </c>
      <c r="G603">
        <f t="shared" si="27"/>
        <v>0.92390609505560195</v>
      </c>
      <c r="H603">
        <f t="shared" si="28"/>
        <v>0.72731522997111586</v>
      </c>
    </row>
    <row r="604" spans="1:8" x14ac:dyDescent="0.2">
      <c r="A604">
        <v>25484</v>
      </c>
      <c r="B604">
        <v>19762.099999999999</v>
      </c>
      <c r="C604">
        <v>31.1111</v>
      </c>
      <c r="D604">
        <v>29.812100000000001</v>
      </c>
      <c r="E604">
        <v>580.87900000000002</v>
      </c>
      <c r="F604">
        <v>523.33699999999999</v>
      </c>
      <c r="G604">
        <f t="shared" si="27"/>
        <v>0.94908638079558627</v>
      </c>
      <c r="H604">
        <f t="shared" si="28"/>
        <v>0.68005019917109588</v>
      </c>
    </row>
    <row r="605" spans="1:8" x14ac:dyDescent="0.2">
      <c r="A605">
        <v>25200.5</v>
      </c>
      <c r="B605">
        <v>21324.9</v>
      </c>
      <c r="C605">
        <v>38.1447</v>
      </c>
      <c r="D605">
        <v>30.7011</v>
      </c>
      <c r="E605">
        <v>602.39499999999998</v>
      </c>
      <c r="F605">
        <v>542.79999999999995</v>
      </c>
      <c r="G605">
        <f t="shared" si="27"/>
        <v>0.87268183847604797</v>
      </c>
      <c r="H605">
        <f t="shared" si="28"/>
        <v>0.68214717653394152</v>
      </c>
    </row>
    <row r="606" spans="1:8" x14ac:dyDescent="0.2">
      <c r="A606">
        <v>26509.9</v>
      </c>
      <c r="B606">
        <v>19089.3</v>
      </c>
      <c r="C606">
        <v>35.305100000000003</v>
      </c>
      <c r="D606">
        <v>21.8096</v>
      </c>
      <c r="E606">
        <v>604.31299999999999</v>
      </c>
      <c r="F606">
        <v>500.726</v>
      </c>
      <c r="G606">
        <f t="shared" si="27"/>
        <v>0.91220765600292431</v>
      </c>
      <c r="H606">
        <f t="shared" si="28"/>
        <v>0.71756372992980177</v>
      </c>
    </row>
    <row r="607" spans="1:8" x14ac:dyDescent="0.2">
      <c r="A607">
        <v>27248.1</v>
      </c>
      <c r="B607">
        <v>21774.2</v>
      </c>
      <c r="C607">
        <v>25.561599999999999</v>
      </c>
      <c r="D607">
        <v>28.659600000000001</v>
      </c>
      <c r="E607">
        <v>622.86599999999999</v>
      </c>
      <c r="F607">
        <v>543.51400000000001</v>
      </c>
      <c r="G607">
        <f t="shared" si="27"/>
        <v>0.88258485700983969</v>
      </c>
      <c r="H607">
        <f t="shared" si="28"/>
        <v>0.69469072054007985</v>
      </c>
    </row>
    <row r="608" spans="1:8" x14ac:dyDescent="0.2">
      <c r="A608">
        <v>28638.799999999999</v>
      </c>
      <c r="B608">
        <v>26819.1</v>
      </c>
      <c r="C608">
        <v>32.839399999999998</v>
      </c>
      <c r="D608">
        <v>31.343900000000001</v>
      </c>
      <c r="E608">
        <v>624.09100000000001</v>
      </c>
      <c r="F608">
        <v>597.04100000000005</v>
      </c>
      <c r="G608">
        <f t="shared" si="27"/>
        <v>0.92399256022286491</v>
      </c>
      <c r="H608">
        <f t="shared" si="28"/>
        <v>0.70909863303262155</v>
      </c>
    </row>
    <row r="609" spans="1:8" x14ac:dyDescent="0.2">
      <c r="A609">
        <v>30252.5</v>
      </c>
      <c r="B609">
        <v>20916.5</v>
      </c>
      <c r="C609">
        <v>33.917200000000001</v>
      </c>
      <c r="D609">
        <v>29.618300000000001</v>
      </c>
      <c r="E609">
        <v>641.72900000000004</v>
      </c>
      <c r="F609">
        <v>521.20500000000004</v>
      </c>
      <c r="G609">
        <f t="shared" si="27"/>
        <v>0.92313971499569325</v>
      </c>
      <c r="H609">
        <f t="shared" si="28"/>
        <v>0.72567578075879247</v>
      </c>
    </row>
    <row r="610" spans="1:8" x14ac:dyDescent="0.2">
      <c r="A610">
        <v>29415.5</v>
      </c>
      <c r="B610">
        <v>20736.5</v>
      </c>
      <c r="C610">
        <v>37.663400000000003</v>
      </c>
      <c r="D610">
        <v>25.807099999999998</v>
      </c>
      <c r="E610">
        <v>619.69899999999996</v>
      </c>
      <c r="F610">
        <v>529.48</v>
      </c>
      <c r="G610">
        <f t="shared" si="27"/>
        <v>0.96255186844749618</v>
      </c>
      <c r="H610">
        <f t="shared" si="28"/>
        <v>0.69711928356370945</v>
      </c>
    </row>
    <row r="611" spans="1:8" x14ac:dyDescent="0.2">
      <c r="A611">
        <v>24680</v>
      </c>
      <c r="B611">
        <v>18613</v>
      </c>
      <c r="C611">
        <v>28.300599999999999</v>
      </c>
      <c r="D611">
        <v>27.075700000000001</v>
      </c>
      <c r="E611">
        <v>568.95799999999997</v>
      </c>
      <c r="F611">
        <v>492.15</v>
      </c>
      <c r="G611">
        <f t="shared" si="27"/>
        <v>0.95806336991424135</v>
      </c>
      <c r="H611">
        <f t="shared" si="28"/>
        <v>0.72425609555544757</v>
      </c>
    </row>
    <row r="612" spans="1:8" x14ac:dyDescent="0.2">
      <c r="A612">
        <v>26562.799999999999</v>
      </c>
      <c r="B612">
        <v>32057.7</v>
      </c>
      <c r="C612">
        <v>32.970199999999998</v>
      </c>
      <c r="D612">
        <v>36.479100000000003</v>
      </c>
      <c r="E612">
        <v>590.35799999999995</v>
      </c>
      <c r="F612">
        <v>643.73800000000006</v>
      </c>
      <c r="G612">
        <f t="shared" si="27"/>
        <v>0.95775062477712758</v>
      </c>
      <c r="H612">
        <f t="shared" si="28"/>
        <v>0.7290961890564005</v>
      </c>
    </row>
    <row r="613" spans="1:8" x14ac:dyDescent="0.2">
      <c r="A613">
        <v>30514.7</v>
      </c>
      <c r="B613">
        <v>19279</v>
      </c>
      <c r="C613">
        <v>26.264199999999999</v>
      </c>
      <c r="D613">
        <v>27.4648</v>
      </c>
      <c r="E613">
        <v>634.29600000000005</v>
      </c>
      <c r="F613">
        <v>500.12099999999998</v>
      </c>
      <c r="G613">
        <f t="shared" si="27"/>
        <v>0.95309163194451385</v>
      </c>
      <c r="H613">
        <f t="shared" si="28"/>
        <v>0.72644891949920787</v>
      </c>
    </row>
    <row r="614" spans="1:8" x14ac:dyDescent="0.2">
      <c r="A614">
        <v>36615</v>
      </c>
      <c r="B614">
        <v>19870.599999999999</v>
      </c>
      <c r="C614">
        <v>31.357600000000001</v>
      </c>
      <c r="D614">
        <v>41.281399999999998</v>
      </c>
      <c r="E614">
        <v>737.79</v>
      </c>
      <c r="F614">
        <v>583.81200000000001</v>
      </c>
      <c r="G614">
        <f t="shared" si="27"/>
        <v>0.84528469710059806</v>
      </c>
      <c r="H614">
        <f t="shared" si="28"/>
        <v>0.54945952530466258</v>
      </c>
    </row>
    <row r="615" spans="1:8" x14ac:dyDescent="0.2">
      <c r="A615">
        <v>48022.5</v>
      </c>
      <c r="B615">
        <v>16609.7</v>
      </c>
      <c r="C615">
        <v>35.745899999999999</v>
      </c>
      <c r="D615">
        <v>30.965599999999998</v>
      </c>
      <c r="E615">
        <v>814.55</v>
      </c>
      <c r="F615">
        <v>464.96100000000001</v>
      </c>
      <c r="G615">
        <f t="shared" si="27"/>
        <v>0.90953363972174184</v>
      </c>
      <c r="H615">
        <f t="shared" si="28"/>
        <v>0.72410158090868793</v>
      </c>
    </row>
    <row r="616" spans="1:8" x14ac:dyDescent="0.2">
      <c r="A616">
        <v>295.67</v>
      </c>
      <c r="B616">
        <v>39333</v>
      </c>
      <c r="C616">
        <v>81.283900000000003</v>
      </c>
      <c r="D616">
        <v>20.4557</v>
      </c>
      <c r="E616">
        <v>368.06</v>
      </c>
      <c r="F616">
        <v>708.51700000000005</v>
      </c>
      <c r="G616">
        <f t="shared" si="27"/>
        <v>2.7427076314187226E-2</v>
      </c>
      <c r="H616">
        <f t="shared" si="28"/>
        <v>0.73846052131584328</v>
      </c>
    </row>
    <row r="617" spans="1:8" x14ac:dyDescent="0.2">
      <c r="A617">
        <v>25510.6</v>
      </c>
      <c r="B617">
        <v>21595.200000000001</v>
      </c>
      <c r="C617">
        <v>30.145199999999999</v>
      </c>
      <c r="D617">
        <v>24.836400000000001</v>
      </c>
      <c r="E617">
        <v>575.19399999999996</v>
      </c>
      <c r="F617">
        <v>533.61599999999999</v>
      </c>
      <c r="G617">
        <f t="shared" si="27"/>
        <v>0.96895024317379697</v>
      </c>
      <c r="H617">
        <f t="shared" si="28"/>
        <v>0.71477656494167463</v>
      </c>
    </row>
    <row r="618" spans="1:8" x14ac:dyDescent="0.2">
      <c r="A618">
        <v>3267.47</v>
      </c>
      <c r="B618">
        <v>22712.400000000001</v>
      </c>
      <c r="C618">
        <v>75.957599999999999</v>
      </c>
      <c r="D618">
        <v>29.284099999999999</v>
      </c>
      <c r="E618">
        <v>981.654</v>
      </c>
      <c r="F618">
        <v>539.47799999999995</v>
      </c>
      <c r="G618">
        <f t="shared" si="27"/>
        <v>4.2609282866239086E-2</v>
      </c>
      <c r="H618">
        <f t="shared" si="28"/>
        <v>0.73550615460927138</v>
      </c>
    </row>
    <row r="619" spans="1:8" x14ac:dyDescent="0.2">
      <c r="A619">
        <v>36840.9</v>
      </c>
      <c r="B619">
        <v>42517.9</v>
      </c>
      <c r="C619">
        <v>51.285899999999998</v>
      </c>
      <c r="D619">
        <v>23.850300000000001</v>
      </c>
      <c r="E619">
        <v>865.202</v>
      </c>
      <c r="F619">
        <v>759.16700000000003</v>
      </c>
      <c r="G619">
        <f t="shared" si="27"/>
        <v>0.61845014975365331</v>
      </c>
      <c r="H619">
        <f t="shared" si="28"/>
        <v>0.6952931063821649</v>
      </c>
    </row>
    <row r="620" spans="1:8" x14ac:dyDescent="0.2">
      <c r="A620">
        <v>28901.1</v>
      </c>
      <c r="B620">
        <v>27785.9</v>
      </c>
      <c r="C620">
        <v>35.919400000000003</v>
      </c>
      <c r="D620">
        <v>28.142199999999999</v>
      </c>
      <c r="E620">
        <v>616.54700000000003</v>
      </c>
      <c r="F620">
        <v>603.97400000000005</v>
      </c>
      <c r="G620">
        <f t="shared" si="27"/>
        <v>0.95541376068009631</v>
      </c>
      <c r="H620">
        <f t="shared" si="28"/>
        <v>0.7178913857680298</v>
      </c>
    </row>
    <row r="621" spans="1:8" x14ac:dyDescent="0.2">
      <c r="A621">
        <v>27418.799999999999</v>
      </c>
      <c r="B621">
        <v>29442.7</v>
      </c>
      <c r="C621">
        <v>26.467199999999998</v>
      </c>
      <c r="D621">
        <v>28.2117</v>
      </c>
      <c r="E621">
        <v>593.10199999999998</v>
      </c>
      <c r="F621">
        <v>622.44000000000005</v>
      </c>
      <c r="G621">
        <f t="shared" si="27"/>
        <v>0.97948809961927563</v>
      </c>
      <c r="H621">
        <f t="shared" si="28"/>
        <v>0.716231481665772</v>
      </c>
    </row>
    <row r="622" spans="1:8" x14ac:dyDescent="0.2">
      <c r="A622">
        <v>24812.3</v>
      </c>
      <c r="B622">
        <v>14327.2</v>
      </c>
      <c r="C622">
        <v>29.750599999999999</v>
      </c>
      <c r="D622">
        <v>24.583300000000001</v>
      </c>
      <c r="E622">
        <v>569.43600000000004</v>
      </c>
      <c r="F622">
        <v>431.22300000000001</v>
      </c>
      <c r="G622">
        <f t="shared" si="27"/>
        <v>0.96158278738485248</v>
      </c>
      <c r="H622">
        <f t="shared" si="28"/>
        <v>0.72615319205662987</v>
      </c>
    </row>
    <row r="623" spans="1:8" x14ac:dyDescent="0.2">
      <c r="A623">
        <v>31291.599999999999</v>
      </c>
      <c r="B623">
        <v>47959.199999999997</v>
      </c>
      <c r="C623">
        <v>37.479599999999998</v>
      </c>
      <c r="D623">
        <v>43.724400000000003</v>
      </c>
      <c r="E623">
        <v>662.01199999999994</v>
      </c>
      <c r="F623">
        <v>803.55799999999999</v>
      </c>
      <c r="G623">
        <f t="shared" si="27"/>
        <v>0.89723363057765948</v>
      </c>
      <c r="H623">
        <f t="shared" si="28"/>
        <v>0.70001642827863086</v>
      </c>
    </row>
    <row r="624" spans="1:8" x14ac:dyDescent="0.2">
      <c r="A624">
        <v>26196.1</v>
      </c>
      <c r="B624">
        <v>43258.3</v>
      </c>
      <c r="C624">
        <v>20.164400000000001</v>
      </c>
      <c r="D624">
        <v>44.070900000000002</v>
      </c>
      <c r="E624">
        <v>578.51900000000001</v>
      </c>
      <c r="F624">
        <v>761.25</v>
      </c>
      <c r="G624">
        <f t="shared" si="27"/>
        <v>0.98358270388233848</v>
      </c>
      <c r="H624">
        <f t="shared" si="28"/>
        <v>0.70353482108342025</v>
      </c>
    </row>
    <row r="625" spans="1:8" x14ac:dyDescent="0.2">
      <c r="A625">
        <v>37083.4</v>
      </c>
      <c r="B625">
        <v>17870.400000000001</v>
      </c>
      <c r="C625">
        <v>29.861699999999999</v>
      </c>
      <c r="D625">
        <v>28.638000000000002</v>
      </c>
      <c r="E625">
        <v>715.23699999999997</v>
      </c>
      <c r="F625">
        <v>497.68099999999998</v>
      </c>
      <c r="G625">
        <f t="shared" si="27"/>
        <v>0.91093858293774244</v>
      </c>
      <c r="H625">
        <f t="shared" si="28"/>
        <v>0.67999060477406537</v>
      </c>
    </row>
    <row r="626" spans="1:8" x14ac:dyDescent="0.2">
      <c r="A626">
        <v>26124</v>
      </c>
      <c r="B626">
        <v>22992.3</v>
      </c>
      <c r="C626">
        <v>27.1647</v>
      </c>
      <c r="D626">
        <v>31.292100000000001</v>
      </c>
      <c r="E626">
        <v>585.09100000000001</v>
      </c>
      <c r="F626">
        <v>552.55799999999999</v>
      </c>
      <c r="G626">
        <f t="shared" si="27"/>
        <v>0.95896407274159889</v>
      </c>
      <c r="H626">
        <f t="shared" si="28"/>
        <v>0.70973698274882302</v>
      </c>
    </row>
    <row r="627" spans="1:8" x14ac:dyDescent="0.2">
      <c r="A627">
        <v>28609</v>
      </c>
      <c r="B627">
        <v>19204.7</v>
      </c>
      <c r="C627">
        <v>34.274700000000003</v>
      </c>
      <c r="D627">
        <v>36.940100000000001</v>
      </c>
      <c r="E627">
        <v>621.13099999999997</v>
      </c>
      <c r="F627">
        <v>504.82400000000001</v>
      </c>
      <c r="G627">
        <f t="shared" si="27"/>
        <v>0.93184947522491934</v>
      </c>
      <c r="H627">
        <f t="shared" si="28"/>
        <v>0.71022883519928093</v>
      </c>
    </row>
    <row r="628" spans="1:8" x14ac:dyDescent="0.2">
      <c r="A628">
        <v>29725.4</v>
      </c>
      <c r="B628">
        <v>21340.1</v>
      </c>
      <c r="C628">
        <v>33.042900000000003</v>
      </c>
      <c r="D628">
        <v>25.203499999999998</v>
      </c>
      <c r="E628">
        <v>631.72699999999998</v>
      </c>
      <c r="F628">
        <v>524.35500000000002</v>
      </c>
      <c r="G628">
        <f t="shared" si="27"/>
        <v>0.9360053402380043</v>
      </c>
      <c r="H628">
        <f t="shared" si="28"/>
        <v>0.73150345821441976</v>
      </c>
    </row>
    <row r="629" spans="1:8" x14ac:dyDescent="0.2">
      <c r="A629">
        <v>27237.7</v>
      </c>
      <c r="B629">
        <v>26879.4</v>
      </c>
      <c r="C629">
        <v>36.489100000000001</v>
      </c>
      <c r="D629">
        <v>37.040900000000001</v>
      </c>
      <c r="E629">
        <v>615.46799999999996</v>
      </c>
      <c r="F629">
        <v>615.14099999999996</v>
      </c>
      <c r="G629">
        <f t="shared" si="27"/>
        <v>0.90358491966966215</v>
      </c>
      <c r="H629">
        <f t="shared" si="28"/>
        <v>0.66948520221916541</v>
      </c>
    </row>
    <row r="630" spans="1:8" x14ac:dyDescent="0.2">
      <c r="A630">
        <v>25588.6</v>
      </c>
      <c r="B630">
        <v>23328.1</v>
      </c>
      <c r="C630">
        <v>33.089799999999997</v>
      </c>
      <c r="D630">
        <v>32.512500000000003</v>
      </c>
      <c r="E630">
        <v>590.31899999999996</v>
      </c>
      <c r="F630">
        <v>556.49900000000002</v>
      </c>
      <c r="G630">
        <f t="shared" si="27"/>
        <v>0.9227466971692756</v>
      </c>
      <c r="H630">
        <f t="shared" si="28"/>
        <v>0.70993951963271706</v>
      </c>
    </row>
    <row r="631" spans="1:8" x14ac:dyDescent="0.2">
      <c r="A631">
        <v>28594.5</v>
      </c>
      <c r="B631">
        <v>16554.099999999999</v>
      </c>
      <c r="C631">
        <v>35.36</v>
      </c>
      <c r="D631">
        <v>31.082999999999998</v>
      </c>
      <c r="E631">
        <v>613.33500000000004</v>
      </c>
      <c r="F631">
        <v>466.95400000000001</v>
      </c>
      <c r="G631">
        <f t="shared" si="27"/>
        <v>0.95520482437008236</v>
      </c>
      <c r="H631">
        <f t="shared" si="28"/>
        <v>0.71553047422947635</v>
      </c>
    </row>
    <row r="632" spans="1:8" x14ac:dyDescent="0.2">
      <c r="A632">
        <v>27094.9</v>
      </c>
      <c r="B632">
        <v>17382.400000000001</v>
      </c>
      <c r="C632">
        <v>32.011299999999999</v>
      </c>
      <c r="D632">
        <v>38.726500000000001</v>
      </c>
      <c r="E632">
        <v>604.17700000000002</v>
      </c>
      <c r="F632">
        <v>475.65699999999998</v>
      </c>
      <c r="G632">
        <f t="shared" si="27"/>
        <v>0.93275733492862245</v>
      </c>
      <c r="H632">
        <f t="shared" si="28"/>
        <v>0.72409027611885579</v>
      </c>
    </row>
    <row r="633" spans="1:8" x14ac:dyDescent="0.2">
      <c r="A633">
        <v>2636.74</v>
      </c>
      <c r="B633">
        <v>3335.34</v>
      </c>
      <c r="C633">
        <v>116.19499999999999</v>
      </c>
      <c r="D633">
        <v>81.816500000000005</v>
      </c>
      <c r="E633">
        <v>999.73900000000003</v>
      </c>
      <c r="F633">
        <v>901.14</v>
      </c>
      <c r="G633">
        <f t="shared" si="27"/>
        <v>3.3151526905129312E-2</v>
      </c>
      <c r="H633">
        <f t="shared" si="28"/>
        <v>3.8710282178871895E-2</v>
      </c>
    </row>
    <row r="634" spans="1:8" x14ac:dyDescent="0.2">
      <c r="A634">
        <v>28724.9</v>
      </c>
      <c r="B634">
        <v>26628</v>
      </c>
      <c r="C634">
        <v>31.547899999999998</v>
      </c>
      <c r="D634">
        <v>67.2346</v>
      </c>
      <c r="E634">
        <v>618.45000000000005</v>
      </c>
      <c r="F634">
        <v>718.49900000000002</v>
      </c>
      <c r="G634">
        <f t="shared" si="27"/>
        <v>0.94375406427261299</v>
      </c>
      <c r="H634">
        <f t="shared" si="28"/>
        <v>0.48613509284767426</v>
      </c>
    </row>
    <row r="635" spans="1:8" x14ac:dyDescent="0.2">
      <c r="A635">
        <v>27157.5</v>
      </c>
      <c r="B635">
        <v>30689</v>
      </c>
      <c r="C635">
        <v>35.191899999999997</v>
      </c>
      <c r="D635">
        <v>31.380400000000002</v>
      </c>
      <c r="E635">
        <v>609.77200000000005</v>
      </c>
      <c r="F635">
        <v>646.57399999999996</v>
      </c>
      <c r="G635">
        <f t="shared" si="27"/>
        <v>0.91783439613793727</v>
      </c>
      <c r="H635">
        <f t="shared" si="28"/>
        <v>0.69185809095325357</v>
      </c>
    </row>
    <row r="636" spans="1:8" x14ac:dyDescent="0.2">
      <c r="A636">
        <v>25308.9</v>
      </c>
      <c r="B636">
        <v>23619.7</v>
      </c>
      <c r="C636">
        <v>32.020899999999997</v>
      </c>
      <c r="D636">
        <v>44.054200000000002</v>
      </c>
      <c r="E636">
        <v>577.13199999999995</v>
      </c>
      <c r="F636">
        <v>621.18100000000004</v>
      </c>
      <c r="G636">
        <f t="shared" si="27"/>
        <v>0.9548440732973088</v>
      </c>
      <c r="H636">
        <f t="shared" si="28"/>
        <v>0.576910988004112</v>
      </c>
    </row>
    <row r="637" spans="1:8" x14ac:dyDescent="0.2">
      <c r="A637">
        <v>35932.5</v>
      </c>
      <c r="B637">
        <v>31681.1</v>
      </c>
      <c r="C637">
        <v>26.7058</v>
      </c>
      <c r="D637">
        <v>34.944800000000001</v>
      </c>
      <c r="E637">
        <v>687.15599999999995</v>
      </c>
      <c r="F637">
        <v>661.73599999999999</v>
      </c>
      <c r="G637">
        <f t="shared" si="27"/>
        <v>0.95628258210629957</v>
      </c>
      <c r="H637">
        <f t="shared" si="28"/>
        <v>0.68186985191801541</v>
      </c>
    </row>
    <row r="638" spans="1:8" x14ac:dyDescent="0.2">
      <c r="A638">
        <v>33721.300000000003</v>
      </c>
      <c r="B638">
        <v>18406.7</v>
      </c>
      <c r="C638">
        <v>34.442500000000003</v>
      </c>
      <c r="D638">
        <v>25.999600000000001</v>
      </c>
      <c r="E638">
        <v>666.55899999999997</v>
      </c>
      <c r="F638">
        <v>488.48200000000003</v>
      </c>
      <c r="G638">
        <f t="shared" si="27"/>
        <v>0.95375452763936364</v>
      </c>
      <c r="H638">
        <f t="shared" si="28"/>
        <v>0.72702536723997713</v>
      </c>
    </row>
    <row r="639" spans="1:8" x14ac:dyDescent="0.2">
      <c r="A639">
        <v>27134</v>
      </c>
      <c r="B639">
        <v>21147</v>
      </c>
      <c r="C639">
        <v>32.665199999999999</v>
      </c>
      <c r="D639">
        <v>25.394100000000002</v>
      </c>
      <c r="E639">
        <v>596.24400000000003</v>
      </c>
      <c r="F639">
        <v>532.90300000000002</v>
      </c>
      <c r="G639">
        <f t="shared" si="27"/>
        <v>0.95912513937713428</v>
      </c>
      <c r="H639">
        <f t="shared" si="28"/>
        <v>0.7018158878134878</v>
      </c>
    </row>
    <row r="640" spans="1:8" x14ac:dyDescent="0.2">
      <c r="A640">
        <v>30893.200000000001</v>
      </c>
      <c r="B640">
        <v>37576.699999999997</v>
      </c>
      <c r="C640">
        <v>45.2104</v>
      </c>
      <c r="D640">
        <v>24.5791</v>
      </c>
      <c r="E640">
        <v>741.92899999999997</v>
      </c>
      <c r="F640">
        <v>696.07299999999998</v>
      </c>
      <c r="G640">
        <f t="shared" si="27"/>
        <v>0.70525747768774605</v>
      </c>
      <c r="H640">
        <f t="shared" si="28"/>
        <v>0.73093679005437395</v>
      </c>
    </row>
    <row r="641" spans="1:8" x14ac:dyDescent="0.2">
      <c r="A641">
        <v>2359.83</v>
      </c>
      <c r="B641">
        <v>17944.5</v>
      </c>
      <c r="C641">
        <v>58.927199999999999</v>
      </c>
      <c r="D641">
        <v>31.128</v>
      </c>
      <c r="E641">
        <v>921.95899999999995</v>
      </c>
      <c r="F641">
        <v>484.40499999999997</v>
      </c>
      <c r="G641">
        <f t="shared" si="27"/>
        <v>3.4887270996032019E-2</v>
      </c>
      <c r="H641">
        <f t="shared" si="28"/>
        <v>0.72075039298822519</v>
      </c>
    </row>
    <row r="642" spans="1:8" x14ac:dyDescent="0.2">
      <c r="A642">
        <v>26480</v>
      </c>
      <c r="B642">
        <v>16240.8</v>
      </c>
      <c r="C642">
        <v>35.942700000000002</v>
      </c>
      <c r="D642">
        <v>27.835799999999999</v>
      </c>
      <c r="E642">
        <v>601.54100000000005</v>
      </c>
      <c r="F642">
        <v>460.81799999999998</v>
      </c>
      <c r="G642">
        <f t="shared" si="27"/>
        <v>0.9195958677072249</v>
      </c>
      <c r="H642">
        <f t="shared" si="28"/>
        <v>0.72080752078707433</v>
      </c>
    </row>
    <row r="643" spans="1:8" x14ac:dyDescent="0.2">
      <c r="A643">
        <v>31286.799999999999</v>
      </c>
      <c r="B643">
        <v>16472.400000000001</v>
      </c>
      <c r="C643">
        <v>28.5535</v>
      </c>
      <c r="D643">
        <v>26.880600000000001</v>
      </c>
      <c r="E643">
        <v>673.93700000000001</v>
      </c>
      <c r="F643">
        <v>470.04899999999998</v>
      </c>
      <c r="G643">
        <f t="shared" ref="G643:G706" si="29" xml:space="preserve"> 3.14159*4*A643/(E643*E643)</f>
        <v>0.86562948808865758</v>
      </c>
      <c r="H643">
        <f t="shared" ref="H643:H706" si="30" xml:space="preserve"> 3*3.14159*B643/(F643*F643)</f>
        <v>0.702653759297307</v>
      </c>
    </row>
    <row r="644" spans="1:8" x14ac:dyDescent="0.2">
      <c r="A644">
        <v>36462.5</v>
      </c>
      <c r="B644">
        <v>23775.4</v>
      </c>
      <c r="C644">
        <v>61.284999999999997</v>
      </c>
      <c r="D644">
        <v>44.685000000000002</v>
      </c>
      <c r="E644">
        <v>743.80899999999997</v>
      </c>
      <c r="F644">
        <v>586.49099999999999</v>
      </c>
      <c r="G644">
        <f t="shared" si="29"/>
        <v>0.82819590991326619</v>
      </c>
      <c r="H644">
        <f t="shared" si="30"/>
        <v>0.65144220052210278</v>
      </c>
    </row>
    <row r="645" spans="1:8" x14ac:dyDescent="0.2">
      <c r="A645">
        <v>23946.5</v>
      </c>
      <c r="B645">
        <v>14802.5</v>
      </c>
      <c r="C645">
        <v>30.0458</v>
      </c>
      <c r="D645">
        <v>29.043299999999999</v>
      </c>
      <c r="E645">
        <v>564.47500000000002</v>
      </c>
      <c r="F645">
        <v>441.68700000000001</v>
      </c>
      <c r="G645">
        <f t="shared" si="29"/>
        <v>0.94441335314534569</v>
      </c>
      <c r="H645">
        <f t="shared" si="30"/>
        <v>0.71511616668463251</v>
      </c>
    </row>
    <row r="646" spans="1:8" x14ac:dyDescent="0.2">
      <c r="A646">
        <v>35409.4</v>
      </c>
      <c r="B646">
        <v>19672.900000000001</v>
      </c>
      <c r="C646">
        <v>23.956399999999999</v>
      </c>
      <c r="D646">
        <v>25.936199999999999</v>
      </c>
      <c r="E646">
        <v>678.80899999999997</v>
      </c>
      <c r="F646">
        <v>505.39499999999998</v>
      </c>
      <c r="G646">
        <f t="shared" si="29"/>
        <v>0.96567920965184861</v>
      </c>
      <c r="H646">
        <f t="shared" si="30"/>
        <v>0.72590077975981049</v>
      </c>
    </row>
    <row r="647" spans="1:8" x14ac:dyDescent="0.2">
      <c r="A647">
        <v>26338.9</v>
      </c>
      <c r="B647">
        <v>17850.400000000001</v>
      </c>
      <c r="C647">
        <v>24.775300000000001</v>
      </c>
      <c r="D647">
        <v>28.773499999999999</v>
      </c>
      <c r="E647">
        <v>582.02200000000005</v>
      </c>
      <c r="F647">
        <v>506.36599999999999</v>
      </c>
      <c r="G647">
        <f t="shared" si="29"/>
        <v>0.97707596146087683</v>
      </c>
      <c r="H647">
        <f t="shared" si="30"/>
        <v>0.6561296120710659</v>
      </c>
    </row>
    <row r="648" spans="1:8" x14ac:dyDescent="0.2">
      <c r="A648">
        <v>34473.199999999997</v>
      </c>
      <c r="B648">
        <v>45091</v>
      </c>
      <c r="C648">
        <v>39.479599999999998</v>
      </c>
      <c r="D648">
        <v>120.38500000000001</v>
      </c>
      <c r="E648">
        <v>725.30100000000004</v>
      </c>
      <c r="F648">
        <v>1345.83</v>
      </c>
      <c r="G648">
        <f t="shared" si="29"/>
        <v>0.82348282114880844</v>
      </c>
      <c r="H648">
        <f t="shared" si="30"/>
        <v>0.2346282047190909</v>
      </c>
    </row>
    <row r="649" spans="1:8" x14ac:dyDescent="0.2">
      <c r="A649">
        <v>26113.5</v>
      </c>
      <c r="B649">
        <v>26557.7</v>
      </c>
      <c r="C649">
        <v>28.804500000000001</v>
      </c>
      <c r="D649">
        <v>37.597099999999998</v>
      </c>
      <c r="E649">
        <v>583.89800000000002</v>
      </c>
      <c r="F649">
        <v>629.43200000000002</v>
      </c>
      <c r="G649">
        <f t="shared" si="29"/>
        <v>0.96249970741255197</v>
      </c>
      <c r="H649">
        <f t="shared" si="30"/>
        <v>0.63177667001733828</v>
      </c>
    </row>
    <row r="650" spans="1:8" x14ac:dyDescent="0.2">
      <c r="A650">
        <v>32758.9</v>
      </c>
      <c r="B650">
        <v>1916.1</v>
      </c>
      <c r="C650">
        <v>27.7895</v>
      </c>
      <c r="D650">
        <v>77.352999999999994</v>
      </c>
      <c r="E650">
        <v>650.33699999999999</v>
      </c>
      <c r="F650">
        <v>520.10199999999998</v>
      </c>
      <c r="G650">
        <f t="shared" si="29"/>
        <v>0.97333397029833524</v>
      </c>
      <c r="H650">
        <f t="shared" si="30"/>
        <v>6.6759316842105981E-2</v>
      </c>
    </row>
    <row r="651" spans="1:8" x14ac:dyDescent="0.2">
      <c r="A651">
        <v>31025.3</v>
      </c>
      <c r="B651">
        <v>19328.7</v>
      </c>
      <c r="C651">
        <v>25.164300000000001</v>
      </c>
      <c r="D651">
        <v>38.369100000000003</v>
      </c>
      <c r="E651">
        <v>632.35900000000004</v>
      </c>
      <c r="F651">
        <v>513.82500000000005</v>
      </c>
      <c r="G651">
        <f t="shared" si="29"/>
        <v>0.97498532464308874</v>
      </c>
      <c r="H651">
        <f t="shared" si="30"/>
        <v>0.68999023456542619</v>
      </c>
    </row>
    <row r="652" spans="1:8" x14ac:dyDescent="0.2">
      <c r="A652">
        <v>36600</v>
      </c>
      <c r="B652">
        <v>15415.5</v>
      </c>
      <c r="C652">
        <v>74.8</v>
      </c>
      <c r="D652">
        <v>32.308</v>
      </c>
      <c r="E652">
        <v>972.91</v>
      </c>
      <c r="F652">
        <v>448.65199999999999</v>
      </c>
      <c r="G652">
        <f t="shared" si="29"/>
        <v>0.48589815276251153</v>
      </c>
      <c r="H652">
        <f t="shared" si="30"/>
        <v>0.72178717319089203</v>
      </c>
    </row>
    <row r="653" spans="1:8" x14ac:dyDescent="0.2">
      <c r="A653">
        <v>2625.25</v>
      </c>
      <c r="B653">
        <v>18763.3</v>
      </c>
      <c r="C653">
        <v>98.930899999999994</v>
      </c>
      <c r="D653">
        <v>33.114800000000002</v>
      </c>
      <c r="E653">
        <v>950.62300000000005</v>
      </c>
      <c r="F653">
        <v>496.98200000000003</v>
      </c>
      <c r="G653">
        <f t="shared" si="29"/>
        <v>3.650593943543104E-2</v>
      </c>
      <c r="H653">
        <f t="shared" si="30"/>
        <v>0.71597632862565896</v>
      </c>
    </row>
    <row r="654" spans="1:8" x14ac:dyDescent="0.2">
      <c r="A654">
        <v>27037.9</v>
      </c>
      <c r="B654">
        <v>29288.400000000001</v>
      </c>
      <c r="C654">
        <v>43.202800000000003</v>
      </c>
      <c r="D654">
        <v>45.777000000000001</v>
      </c>
      <c r="E654">
        <v>625.84100000000001</v>
      </c>
      <c r="F654">
        <v>798.17899999999997</v>
      </c>
      <c r="G654">
        <f t="shared" si="29"/>
        <v>0.86746993594581301</v>
      </c>
      <c r="H654">
        <f t="shared" si="30"/>
        <v>0.43327717700945534</v>
      </c>
    </row>
    <row r="655" spans="1:8" x14ac:dyDescent="0.2">
      <c r="A655">
        <v>3131.91</v>
      </c>
      <c r="B655">
        <v>16361.7</v>
      </c>
      <c r="C655">
        <v>64.003500000000003</v>
      </c>
      <c r="D655">
        <v>27.3812</v>
      </c>
      <c r="E655">
        <v>895.12900000000002</v>
      </c>
      <c r="F655">
        <v>464.13499999999999</v>
      </c>
      <c r="G655">
        <f t="shared" si="29"/>
        <v>4.9118773713899326E-2</v>
      </c>
      <c r="H655">
        <f t="shared" si="30"/>
        <v>0.71583107417697389</v>
      </c>
    </row>
    <row r="656" spans="1:8" x14ac:dyDescent="0.2">
      <c r="A656">
        <v>31451.7</v>
      </c>
      <c r="B656">
        <v>16909.3</v>
      </c>
      <c r="C656">
        <v>31.778300000000002</v>
      </c>
      <c r="D656">
        <v>21.760200000000001</v>
      </c>
      <c r="E656">
        <v>680.30399999999997</v>
      </c>
      <c r="F656">
        <v>470.05099999999999</v>
      </c>
      <c r="G656">
        <f t="shared" si="29"/>
        <v>0.85397975022204931</v>
      </c>
      <c r="H656">
        <f t="shared" si="30"/>
        <v>0.72128421511845608</v>
      </c>
    </row>
    <row r="657" spans="1:8" x14ac:dyDescent="0.2">
      <c r="A657">
        <v>36230.300000000003</v>
      </c>
      <c r="B657">
        <v>15500.5</v>
      </c>
      <c r="C657">
        <v>41.520899999999997</v>
      </c>
      <c r="D657">
        <v>30.6524</v>
      </c>
      <c r="E657">
        <v>707.31100000000004</v>
      </c>
      <c r="F657">
        <v>451.83499999999998</v>
      </c>
      <c r="G657">
        <f t="shared" si="29"/>
        <v>0.91004025384907328</v>
      </c>
      <c r="H657">
        <f t="shared" si="30"/>
        <v>0.7155775875967485</v>
      </c>
    </row>
    <row r="658" spans="1:8" x14ac:dyDescent="0.2">
      <c r="A658">
        <v>28197.200000000001</v>
      </c>
      <c r="B658">
        <v>18181.099999999999</v>
      </c>
      <c r="C658">
        <v>43.412199999999999</v>
      </c>
      <c r="D658">
        <v>38.7759</v>
      </c>
      <c r="E658">
        <v>644.49300000000005</v>
      </c>
      <c r="F658">
        <v>517.02</v>
      </c>
      <c r="G658">
        <f t="shared" si="29"/>
        <v>0.85305900629992359</v>
      </c>
      <c r="H658">
        <f t="shared" si="30"/>
        <v>0.64102686289022248</v>
      </c>
    </row>
    <row r="659" spans="1:8" x14ac:dyDescent="0.2">
      <c r="A659">
        <v>46714.2</v>
      </c>
      <c r="B659">
        <v>17771.900000000001</v>
      </c>
      <c r="C659">
        <v>60.198399999999999</v>
      </c>
      <c r="D659">
        <v>35.9405</v>
      </c>
      <c r="E659">
        <v>868.42899999999997</v>
      </c>
      <c r="F659">
        <v>501.89499999999998</v>
      </c>
      <c r="G659">
        <f t="shared" si="29"/>
        <v>0.77837661097605781</v>
      </c>
      <c r="H659">
        <f t="shared" si="30"/>
        <v>0.66493452496674199</v>
      </c>
    </row>
    <row r="660" spans="1:8" x14ac:dyDescent="0.2">
      <c r="A660">
        <v>32627.7</v>
      </c>
      <c r="B660">
        <v>16436.5</v>
      </c>
      <c r="C660">
        <v>31.909400000000002</v>
      </c>
      <c r="D660">
        <v>31.302600000000002</v>
      </c>
      <c r="E660">
        <v>652.91099999999994</v>
      </c>
      <c r="F660">
        <v>478.17099999999999</v>
      </c>
      <c r="G660">
        <f t="shared" si="29"/>
        <v>0.96180711767819638</v>
      </c>
      <c r="H660">
        <f t="shared" si="30"/>
        <v>0.67750676720360814</v>
      </c>
    </row>
    <row r="661" spans="1:8" x14ac:dyDescent="0.2">
      <c r="A661">
        <v>36319.4</v>
      </c>
      <c r="B661">
        <v>39601.9</v>
      </c>
      <c r="C661">
        <v>26.8004</v>
      </c>
      <c r="D661">
        <v>44.2943</v>
      </c>
      <c r="E661">
        <v>689.38699999999994</v>
      </c>
      <c r="F661">
        <v>754.60199999999998</v>
      </c>
      <c r="G661">
        <f t="shared" si="29"/>
        <v>0.96033328893712222</v>
      </c>
      <c r="H661">
        <f t="shared" si="30"/>
        <v>0.65546707220814793</v>
      </c>
    </row>
    <row r="662" spans="1:8" x14ac:dyDescent="0.2">
      <c r="A662">
        <v>34657.9</v>
      </c>
      <c r="B662">
        <v>33093.800000000003</v>
      </c>
      <c r="C662">
        <v>44.080500000000001</v>
      </c>
      <c r="D662">
        <v>38.0563</v>
      </c>
      <c r="E662">
        <v>748.75599999999997</v>
      </c>
      <c r="F662">
        <v>666.32</v>
      </c>
      <c r="G662">
        <f t="shared" si="29"/>
        <v>0.77683916076697557</v>
      </c>
      <c r="H662">
        <f t="shared" si="30"/>
        <v>0.70250868928700871</v>
      </c>
    </row>
    <row r="663" spans="1:8" x14ac:dyDescent="0.2">
      <c r="A663">
        <v>4687.37</v>
      </c>
      <c r="B663">
        <v>22957.3</v>
      </c>
      <c r="C663">
        <v>92.220799999999997</v>
      </c>
      <c r="D663">
        <v>25.970300000000002</v>
      </c>
      <c r="E663">
        <v>1081.82</v>
      </c>
      <c r="F663">
        <v>558.27099999999996</v>
      </c>
      <c r="G663">
        <f t="shared" si="29"/>
        <v>5.0330207516829956E-2</v>
      </c>
      <c r="H663">
        <f t="shared" si="30"/>
        <v>0.69422689242123847</v>
      </c>
    </row>
    <row r="664" spans="1:8" x14ac:dyDescent="0.2">
      <c r="A664">
        <v>11761.2</v>
      </c>
      <c r="B664">
        <v>17660.5</v>
      </c>
      <c r="C664">
        <v>291.85199999999998</v>
      </c>
      <c r="D664">
        <v>25.5304</v>
      </c>
      <c r="E664">
        <v>1614.23</v>
      </c>
      <c r="F664">
        <v>484.90499999999997</v>
      </c>
      <c r="G664">
        <f t="shared" si="29"/>
        <v>5.6719227057782852E-2</v>
      </c>
      <c r="H664">
        <f t="shared" si="30"/>
        <v>0.70788128581936283</v>
      </c>
    </row>
    <row r="665" spans="1:8" x14ac:dyDescent="0.2">
      <c r="A665">
        <v>3631.28</v>
      </c>
      <c r="B665">
        <v>16479.2</v>
      </c>
      <c r="C665">
        <v>98.813800000000001</v>
      </c>
      <c r="D665">
        <v>30.945</v>
      </c>
      <c r="E665">
        <v>949.57799999999997</v>
      </c>
      <c r="F665">
        <v>464.77600000000001</v>
      </c>
      <c r="G665">
        <f t="shared" si="29"/>
        <v>5.060669160541513E-2</v>
      </c>
      <c r="H665">
        <f t="shared" si="30"/>
        <v>0.71898444929454641</v>
      </c>
    </row>
    <row r="666" spans="1:8" x14ac:dyDescent="0.2">
      <c r="A666">
        <v>43635.1</v>
      </c>
      <c r="B666">
        <v>19043</v>
      </c>
      <c r="C666">
        <v>37.685200000000002</v>
      </c>
      <c r="D666">
        <v>33.1252</v>
      </c>
      <c r="E666">
        <v>763.952</v>
      </c>
      <c r="F666">
        <v>511.18400000000003</v>
      </c>
      <c r="G666">
        <f t="shared" si="29"/>
        <v>0.93953578983628327</v>
      </c>
      <c r="H666">
        <f t="shared" si="30"/>
        <v>0.68683374429712329</v>
      </c>
    </row>
    <row r="667" spans="1:8" x14ac:dyDescent="0.2">
      <c r="A667">
        <v>3766.65</v>
      </c>
      <c r="B667">
        <v>19697.5</v>
      </c>
      <c r="C667">
        <v>112.74299999999999</v>
      </c>
      <c r="D667">
        <v>37.805700000000002</v>
      </c>
      <c r="E667">
        <v>1232.58</v>
      </c>
      <c r="F667">
        <v>512.601</v>
      </c>
      <c r="G667">
        <f t="shared" si="29"/>
        <v>3.1155486067584639E-2</v>
      </c>
      <c r="H667">
        <f t="shared" si="30"/>
        <v>0.70651757814838345</v>
      </c>
    </row>
    <row r="668" spans="1:8" x14ac:dyDescent="0.2">
      <c r="A668">
        <v>23636</v>
      </c>
      <c r="B668">
        <v>19275.3</v>
      </c>
      <c r="C668">
        <v>26.580100000000002</v>
      </c>
      <c r="D668">
        <v>33.403199999999998</v>
      </c>
      <c r="E668">
        <v>587.02300000000002</v>
      </c>
      <c r="F668">
        <v>506.02600000000001</v>
      </c>
      <c r="G668">
        <f t="shared" si="29"/>
        <v>0.86193247391198013</v>
      </c>
      <c r="H668">
        <f t="shared" si="30"/>
        <v>0.70945726953135868</v>
      </c>
    </row>
    <row r="669" spans="1:8" x14ac:dyDescent="0.2">
      <c r="A669">
        <v>3983.9</v>
      </c>
      <c r="B669">
        <v>36414.9</v>
      </c>
      <c r="C669">
        <v>81.378699999999995</v>
      </c>
      <c r="D669">
        <v>27.364100000000001</v>
      </c>
      <c r="E669">
        <v>1084.69</v>
      </c>
      <c r="F669">
        <v>690.53700000000003</v>
      </c>
      <c r="G669">
        <f t="shared" si="29"/>
        <v>4.2550694529157995E-2</v>
      </c>
      <c r="H669">
        <f t="shared" si="30"/>
        <v>0.71974055573598372</v>
      </c>
    </row>
    <row r="670" spans="1:8" x14ac:dyDescent="0.2">
      <c r="A670">
        <v>6156.83</v>
      </c>
      <c r="B670">
        <v>17300.400000000001</v>
      </c>
      <c r="C670">
        <v>197.36099999999999</v>
      </c>
      <c r="D670">
        <v>31.0396</v>
      </c>
      <c r="E670">
        <v>1511.77</v>
      </c>
      <c r="F670">
        <v>486.36099999999999</v>
      </c>
      <c r="G670">
        <f t="shared" si="29"/>
        <v>3.3852848193709588E-2</v>
      </c>
      <c r="H670">
        <f t="shared" si="30"/>
        <v>0.68930181114997979</v>
      </c>
    </row>
    <row r="671" spans="1:8" x14ac:dyDescent="0.2">
      <c r="A671">
        <v>18899.2</v>
      </c>
      <c r="B671">
        <v>19264.5</v>
      </c>
      <c r="C671">
        <v>32.799199999999999</v>
      </c>
      <c r="D671">
        <v>29.4238</v>
      </c>
      <c r="E671">
        <v>500.78800000000001</v>
      </c>
      <c r="F671">
        <v>503.63799999999998</v>
      </c>
      <c r="G671">
        <f t="shared" si="29"/>
        <v>0.94698934113534361</v>
      </c>
      <c r="H671">
        <f t="shared" si="30"/>
        <v>0.7157997146495455</v>
      </c>
    </row>
    <row r="672" spans="1:8" x14ac:dyDescent="0.2">
      <c r="A672">
        <v>26816.7</v>
      </c>
      <c r="B672">
        <v>17923</v>
      </c>
      <c r="C672">
        <v>30.9057</v>
      </c>
      <c r="D672">
        <v>27.938500000000001</v>
      </c>
      <c r="E672">
        <v>633.91499999999996</v>
      </c>
      <c r="F672">
        <v>479.38200000000001</v>
      </c>
      <c r="G672">
        <f t="shared" si="29"/>
        <v>0.83859597574712197</v>
      </c>
      <c r="H672">
        <f t="shared" si="30"/>
        <v>0.73505192527019425</v>
      </c>
    </row>
    <row r="673" spans="1:8" x14ac:dyDescent="0.2">
      <c r="A673">
        <v>33957.4</v>
      </c>
      <c r="B673">
        <v>2206.79</v>
      </c>
      <c r="C673">
        <v>45.350499999999997</v>
      </c>
      <c r="D673">
        <v>72.973600000000005</v>
      </c>
      <c r="E673">
        <v>703.98299999999995</v>
      </c>
      <c r="F673">
        <v>1022.02</v>
      </c>
      <c r="G673">
        <f t="shared" si="29"/>
        <v>0.8610325786313674</v>
      </c>
      <c r="H673">
        <f t="shared" si="30"/>
        <v>1.9911912658638859E-2</v>
      </c>
    </row>
    <row r="674" spans="1:8" x14ac:dyDescent="0.2">
      <c r="A674">
        <v>33916.300000000003</v>
      </c>
      <c r="B674">
        <v>21615.599999999999</v>
      </c>
      <c r="C674">
        <v>48.266500000000001</v>
      </c>
      <c r="D674">
        <v>25.953199999999999</v>
      </c>
      <c r="E674">
        <v>696.93299999999999</v>
      </c>
      <c r="F674">
        <v>530.06200000000001</v>
      </c>
      <c r="G674">
        <f t="shared" si="29"/>
        <v>0.87747733441966791</v>
      </c>
      <c r="H674">
        <f t="shared" si="30"/>
        <v>0.72507797614883485</v>
      </c>
    </row>
    <row r="675" spans="1:8" x14ac:dyDescent="0.2">
      <c r="A675">
        <v>32975.199999999997</v>
      </c>
      <c r="B675">
        <v>23930.5</v>
      </c>
      <c r="C675">
        <v>41.118899999999996</v>
      </c>
      <c r="D675">
        <v>31.0441</v>
      </c>
      <c r="E675">
        <v>685.20100000000002</v>
      </c>
      <c r="F675">
        <v>558.79499999999996</v>
      </c>
      <c r="G675">
        <f t="shared" si="29"/>
        <v>0.88259397668700601</v>
      </c>
      <c r="H675">
        <f t="shared" si="30"/>
        <v>0.72229982631757939</v>
      </c>
    </row>
    <row r="676" spans="1:8" x14ac:dyDescent="0.2">
      <c r="A676">
        <v>23583</v>
      </c>
      <c r="B676">
        <v>21220.5</v>
      </c>
      <c r="C676">
        <v>25.226199999999999</v>
      </c>
      <c r="D676">
        <v>30.8184</v>
      </c>
      <c r="E676">
        <v>559.16499999999996</v>
      </c>
      <c r="F676">
        <v>538.54600000000005</v>
      </c>
      <c r="G676">
        <f t="shared" si="29"/>
        <v>0.94782593701645057</v>
      </c>
      <c r="H676">
        <f t="shared" si="30"/>
        <v>0.68957381860351963</v>
      </c>
    </row>
    <row r="677" spans="1:8" x14ac:dyDescent="0.2">
      <c r="A677">
        <v>26789.9</v>
      </c>
      <c r="B677">
        <v>20454.3</v>
      </c>
      <c r="C677">
        <v>27.666699999999999</v>
      </c>
      <c r="D677">
        <v>27.0853</v>
      </c>
      <c r="E677">
        <v>604.21299999999997</v>
      </c>
      <c r="F677">
        <v>526.45299999999997</v>
      </c>
      <c r="G677">
        <f t="shared" si="29"/>
        <v>0.92214764059298004</v>
      </c>
      <c r="H677">
        <f t="shared" si="30"/>
        <v>0.69556251999823093</v>
      </c>
    </row>
    <row r="678" spans="1:8" x14ac:dyDescent="0.2">
      <c r="A678">
        <v>24307.200000000001</v>
      </c>
      <c r="B678">
        <v>18934.7</v>
      </c>
      <c r="C678">
        <v>34.5717</v>
      </c>
      <c r="D678">
        <v>31.688500000000001</v>
      </c>
      <c r="E678">
        <v>602.08299999999997</v>
      </c>
      <c r="F678">
        <v>515.49599999999998</v>
      </c>
      <c r="G678">
        <f t="shared" si="29"/>
        <v>0.84261988084364192</v>
      </c>
      <c r="H678">
        <f t="shared" si="30"/>
        <v>0.67155036537356294</v>
      </c>
    </row>
    <row r="679" spans="1:8" x14ac:dyDescent="0.2">
      <c r="A679">
        <v>26489.200000000001</v>
      </c>
      <c r="B679">
        <v>18245.599999999999</v>
      </c>
      <c r="C679">
        <v>43.589599999999997</v>
      </c>
      <c r="D679">
        <v>28.901700000000002</v>
      </c>
      <c r="E679">
        <v>607.41999999999996</v>
      </c>
      <c r="F679">
        <v>491.959</v>
      </c>
      <c r="G679">
        <f t="shared" si="29"/>
        <v>0.90219447805374453</v>
      </c>
      <c r="H679">
        <f t="shared" si="30"/>
        <v>0.71051146470421955</v>
      </c>
    </row>
    <row r="680" spans="1:8" x14ac:dyDescent="0.2">
      <c r="A680">
        <v>21690.6</v>
      </c>
      <c r="B680">
        <v>27298.7</v>
      </c>
      <c r="C680">
        <v>24.794</v>
      </c>
      <c r="D680">
        <v>34.246200000000002</v>
      </c>
      <c r="E680">
        <v>539.58699999999999</v>
      </c>
      <c r="F680">
        <v>603.45799999999997</v>
      </c>
      <c r="G680">
        <f t="shared" si="29"/>
        <v>0.93617730129163934</v>
      </c>
      <c r="H680">
        <f t="shared" si="30"/>
        <v>0.7065105124735227</v>
      </c>
    </row>
    <row r="681" spans="1:8" x14ac:dyDescent="0.2">
      <c r="A681">
        <v>27463.200000000001</v>
      </c>
      <c r="B681">
        <v>22492.6</v>
      </c>
      <c r="C681">
        <v>27.152899999999999</v>
      </c>
      <c r="D681">
        <v>30.072099999999999</v>
      </c>
      <c r="E681">
        <v>626.73699999999997</v>
      </c>
      <c r="F681">
        <v>540.58500000000004</v>
      </c>
      <c r="G681">
        <f t="shared" si="29"/>
        <v>0.87859750971357342</v>
      </c>
      <c r="H681">
        <f t="shared" si="30"/>
        <v>0.72540816382471407</v>
      </c>
    </row>
    <row r="682" spans="1:8" x14ac:dyDescent="0.2">
      <c r="A682">
        <v>21076.799999999999</v>
      </c>
      <c r="B682">
        <v>24620.7</v>
      </c>
      <c r="C682">
        <v>29.7636</v>
      </c>
      <c r="D682">
        <v>25.3735</v>
      </c>
      <c r="E682">
        <v>528.80600000000004</v>
      </c>
      <c r="F682">
        <v>561.70899999999995</v>
      </c>
      <c r="G682">
        <f t="shared" si="29"/>
        <v>0.94715580069842942</v>
      </c>
      <c r="H682">
        <f t="shared" si="30"/>
        <v>0.73544193890713994</v>
      </c>
    </row>
    <row r="683" spans="1:8" x14ac:dyDescent="0.2">
      <c r="A683">
        <v>31390.9</v>
      </c>
      <c r="B683">
        <v>18612.7</v>
      </c>
      <c r="C683">
        <v>30.7607</v>
      </c>
      <c r="D683">
        <v>28.650500000000001</v>
      </c>
      <c r="E683">
        <v>661.37300000000005</v>
      </c>
      <c r="F683">
        <v>490.89</v>
      </c>
      <c r="G683">
        <f t="shared" si="29"/>
        <v>0.90182099581065323</v>
      </c>
      <c r="H683">
        <f t="shared" si="30"/>
        <v>0.72796712631680849</v>
      </c>
    </row>
    <row r="684" spans="1:8" x14ac:dyDescent="0.2">
      <c r="A684">
        <v>34950.300000000003</v>
      </c>
      <c r="B684">
        <v>19935.599999999999</v>
      </c>
      <c r="C684">
        <v>40.063699999999997</v>
      </c>
      <c r="D684">
        <v>26.068899999999999</v>
      </c>
      <c r="E684">
        <v>710.40800000000002</v>
      </c>
      <c r="F684">
        <v>507.90699999999998</v>
      </c>
      <c r="G684">
        <f t="shared" si="29"/>
        <v>0.87025137513544271</v>
      </c>
      <c r="H684">
        <f t="shared" si="30"/>
        <v>0.72833582951702991</v>
      </c>
    </row>
    <row r="685" spans="1:8" x14ac:dyDescent="0.2">
      <c r="A685">
        <v>32568.5</v>
      </c>
      <c r="B685">
        <v>19812.3</v>
      </c>
      <c r="C685">
        <v>36.1355</v>
      </c>
      <c r="D685">
        <v>24.279900000000001</v>
      </c>
      <c r="E685">
        <v>654.54899999999998</v>
      </c>
      <c r="F685">
        <v>504.27800000000002</v>
      </c>
      <c r="G685">
        <f t="shared" si="29"/>
        <v>0.95526293398424611</v>
      </c>
      <c r="H685">
        <f t="shared" si="30"/>
        <v>0.7342866165499693</v>
      </c>
    </row>
    <row r="686" spans="1:8" x14ac:dyDescent="0.2">
      <c r="A686">
        <v>9804.52</v>
      </c>
      <c r="B686">
        <v>18500.400000000001</v>
      </c>
      <c r="C686">
        <v>147.851</v>
      </c>
      <c r="D686">
        <v>32.798000000000002</v>
      </c>
      <c r="E686">
        <v>1051.75</v>
      </c>
      <c r="F686">
        <v>500.08100000000002</v>
      </c>
      <c r="G686">
        <f t="shared" si="29"/>
        <v>0.11138091788653601</v>
      </c>
      <c r="H686">
        <f t="shared" si="30"/>
        <v>0.69722214136030125</v>
      </c>
    </row>
    <row r="687" spans="1:8" x14ac:dyDescent="0.2">
      <c r="A687">
        <v>23090.2</v>
      </c>
      <c r="B687">
        <v>18778</v>
      </c>
      <c r="C687">
        <v>30.8642</v>
      </c>
      <c r="D687">
        <v>32.337499999999999</v>
      </c>
      <c r="E687">
        <v>559.39700000000005</v>
      </c>
      <c r="F687">
        <v>495.827</v>
      </c>
      <c r="G687">
        <f t="shared" si="29"/>
        <v>0.92725017919806363</v>
      </c>
      <c r="H687">
        <f t="shared" si="30"/>
        <v>0.71987940759602287</v>
      </c>
    </row>
    <row r="688" spans="1:8" x14ac:dyDescent="0.2">
      <c r="A688">
        <v>34000.5</v>
      </c>
      <c r="B688">
        <v>40653.9</v>
      </c>
      <c r="C688">
        <v>36.366</v>
      </c>
      <c r="D688">
        <v>27.856400000000001</v>
      </c>
      <c r="E688">
        <v>691.46299999999997</v>
      </c>
      <c r="F688">
        <v>731.06899999999996</v>
      </c>
      <c r="G688">
        <f t="shared" si="29"/>
        <v>0.8936282894078863</v>
      </c>
      <c r="H688">
        <f t="shared" si="30"/>
        <v>0.71689613321655377</v>
      </c>
    </row>
    <row r="689" spans="1:8" x14ac:dyDescent="0.2">
      <c r="A689">
        <v>22233.5</v>
      </c>
      <c r="B689">
        <v>24334.3</v>
      </c>
      <c r="C689">
        <v>26.829699999999999</v>
      </c>
      <c r="D689">
        <v>25.380700000000001</v>
      </c>
      <c r="E689">
        <v>534.15200000000004</v>
      </c>
      <c r="F689">
        <v>563.27499999999998</v>
      </c>
      <c r="G689">
        <f t="shared" si="29"/>
        <v>0.97923654803495952</v>
      </c>
      <c r="H689">
        <f t="shared" si="30"/>
        <v>0.72285079990540879</v>
      </c>
    </row>
    <row r="690" spans="1:8" x14ac:dyDescent="0.2">
      <c r="A690">
        <v>26449.9</v>
      </c>
      <c r="B690">
        <v>11670.2</v>
      </c>
      <c r="C690">
        <v>30.454799999999999</v>
      </c>
      <c r="D690">
        <v>104.02500000000001</v>
      </c>
      <c r="E690">
        <v>603.54600000000005</v>
      </c>
      <c r="F690">
        <v>1048.3800000000001</v>
      </c>
      <c r="G690">
        <f t="shared" si="29"/>
        <v>0.91245778238443587</v>
      </c>
      <c r="H690">
        <f t="shared" si="30"/>
        <v>0.10007177542460503</v>
      </c>
    </row>
    <row r="691" spans="1:8" x14ac:dyDescent="0.2">
      <c r="A691">
        <v>30291.3</v>
      </c>
      <c r="B691">
        <v>32208.2</v>
      </c>
      <c r="C691">
        <v>28.786300000000001</v>
      </c>
      <c r="D691">
        <v>38.401400000000002</v>
      </c>
      <c r="E691">
        <v>627.75800000000004</v>
      </c>
      <c r="F691">
        <v>661.58500000000004</v>
      </c>
      <c r="G691">
        <f t="shared" si="29"/>
        <v>0.96592386757838222</v>
      </c>
      <c r="H691">
        <f t="shared" si="30"/>
        <v>0.69353105860222375</v>
      </c>
    </row>
    <row r="692" spans="1:8" x14ac:dyDescent="0.2">
      <c r="A692">
        <v>25740</v>
      </c>
      <c r="B692">
        <v>27122.2</v>
      </c>
      <c r="C692">
        <v>30.747599999999998</v>
      </c>
      <c r="D692">
        <v>50.754899999999999</v>
      </c>
      <c r="E692">
        <v>581.13</v>
      </c>
      <c r="F692">
        <v>785.70299999999997</v>
      </c>
      <c r="G692">
        <f t="shared" si="29"/>
        <v>0.95779253549105159</v>
      </c>
      <c r="H692">
        <f t="shared" si="30"/>
        <v>0.41407484880216089</v>
      </c>
    </row>
    <row r="693" spans="1:8" x14ac:dyDescent="0.2">
      <c r="A693">
        <v>28620.2</v>
      </c>
      <c r="B693">
        <v>42035.9</v>
      </c>
      <c r="C693">
        <v>33.9238</v>
      </c>
      <c r="D693">
        <v>40.5488</v>
      </c>
      <c r="E693">
        <v>618.15599999999995</v>
      </c>
      <c r="F693">
        <v>757.76700000000005</v>
      </c>
      <c r="G693">
        <f t="shared" si="29"/>
        <v>0.94120880973409571</v>
      </c>
      <c r="H693">
        <f t="shared" si="30"/>
        <v>0.68995336051640965</v>
      </c>
    </row>
    <row r="694" spans="1:8" x14ac:dyDescent="0.2">
      <c r="A694">
        <v>27801.599999999999</v>
      </c>
      <c r="B694">
        <v>2520.0500000000002</v>
      </c>
      <c r="C694">
        <v>30.629899999999999</v>
      </c>
      <c r="D694">
        <v>71.827600000000004</v>
      </c>
      <c r="E694">
        <v>626.18899999999996</v>
      </c>
      <c r="F694">
        <v>933.81899999999996</v>
      </c>
      <c r="G694">
        <f t="shared" si="29"/>
        <v>0.89098095139458111</v>
      </c>
      <c r="H694">
        <f t="shared" si="30"/>
        <v>2.7236701177913939E-2</v>
      </c>
    </row>
    <row r="695" spans="1:8" x14ac:dyDescent="0.2">
      <c r="A695">
        <v>47602.2</v>
      </c>
      <c r="B695">
        <v>30267.8</v>
      </c>
      <c r="C695">
        <v>26.357299999999999</v>
      </c>
      <c r="D695">
        <v>28.1099</v>
      </c>
      <c r="E695">
        <v>798.24400000000003</v>
      </c>
      <c r="F695">
        <v>629.65599999999995</v>
      </c>
      <c r="G695">
        <f t="shared" si="29"/>
        <v>0.9387829559594103</v>
      </c>
      <c r="H695">
        <f t="shared" si="30"/>
        <v>0.71952340258022929</v>
      </c>
    </row>
    <row r="696" spans="1:8" x14ac:dyDescent="0.2">
      <c r="A696">
        <v>44304.6</v>
      </c>
      <c r="B696">
        <v>24602.7</v>
      </c>
      <c r="C696">
        <v>22.490200000000002</v>
      </c>
      <c r="D696">
        <v>28.260300000000001</v>
      </c>
      <c r="E696">
        <v>759.68700000000001</v>
      </c>
      <c r="F696">
        <v>577.83299999999997</v>
      </c>
      <c r="G696">
        <f t="shared" si="29"/>
        <v>0.96469255691986677</v>
      </c>
      <c r="H696">
        <f t="shared" si="30"/>
        <v>0.6944625809715963</v>
      </c>
    </row>
    <row r="697" spans="1:8" x14ac:dyDescent="0.2">
      <c r="A697">
        <v>26320.9</v>
      </c>
      <c r="B697">
        <v>5167.8599999999997</v>
      </c>
      <c r="C697">
        <v>25.2042</v>
      </c>
      <c r="D697">
        <v>108.65300000000001</v>
      </c>
      <c r="E697">
        <v>595.13699999999994</v>
      </c>
      <c r="F697">
        <v>873.827</v>
      </c>
      <c r="G697">
        <f t="shared" si="29"/>
        <v>0.9338482935083986</v>
      </c>
      <c r="H697">
        <f t="shared" si="30"/>
        <v>6.3786765595710684E-2</v>
      </c>
    </row>
    <row r="698" spans="1:8" x14ac:dyDescent="0.2">
      <c r="A698">
        <v>37216.5</v>
      </c>
      <c r="B698">
        <v>20379.2</v>
      </c>
      <c r="C698">
        <v>28.421800000000001</v>
      </c>
      <c r="D698">
        <v>26.369800000000001</v>
      </c>
      <c r="E698">
        <v>724.173</v>
      </c>
      <c r="F698">
        <v>509.81200000000001</v>
      </c>
      <c r="G698">
        <f t="shared" si="29"/>
        <v>0.89178542023069474</v>
      </c>
      <c r="H698">
        <f t="shared" si="30"/>
        <v>0.73898867794720213</v>
      </c>
    </row>
    <row r="699" spans="1:8" x14ac:dyDescent="0.2">
      <c r="A699">
        <v>33951.9</v>
      </c>
      <c r="B699">
        <v>20546.5</v>
      </c>
      <c r="C699">
        <v>54.241399999999999</v>
      </c>
      <c r="D699">
        <v>30.436800000000002</v>
      </c>
      <c r="E699">
        <v>747.71900000000005</v>
      </c>
      <c r="F699">
        <v>525.12099999999998</v>
      </c>
      <c r="G699">
        <f t="shared" si="29"/>
        <v>0.76312687317548578</v>
      </c>
      <c r="H699">
        <f t="shared" si="30"/>
        <v>0.70224691538432038</v>
      </c>
    </row>
    <row r="700" spans="1:8" x14ac:dyDescent="0.2">
      <c r="A700">
        <v>39528.9</v>
      </c>
      <c r="B700">
        <v>26662.7</v>
      </c>
      <c r="C700">
        <v>25.0562</v>
      </c>
      <c r="D700">
        <v>25.252700000000001</v>
      </c>
      <c r="E700">
        <v>727.30399999999997</v>
      </c>
      <c r="F700">
        <v>625.78899999999999</v>
      </c>
      <c r="G700">
        <f t="shared" si="29"/>
        <v>0.93905769124417293</v>
      </c>
      <c r="H700">
        <f t="shared" si="30"/>
        <v>0.64168078833086117</v>
      </c>
    </row>
    <row r="701" spans="1:8" x14ac:dyDescent="0.2">
      <c r="A701">
        <v>31944.400000000001</v>
      </c>
      <c r="B701">
        <v>21522.9</v>
      </c>
      <c r="C701">
        <v>27.116299999999999</v>
      </c>
      <c r="D701">
        <v>43.709499999999998</v>
      </c>
      <c r="E701">
        <v>650.67100000000005</v>
      </c>
      <c r="F701">
        <v>673.15599999999995</v>
      </c>
      <c r="G701">
        <f t="shared" si="29"/>
        <v>0.94815934694779846</v>
      </c>
      <c r="H701">
        <f t="shared" si="30"/>
        <v>0.44765156405118317</v>
      </c>
    </row>
    <row r="702" spans="1:8" x14ac:dyDescent="0.2">
      <c r="A702">
        <v>30233.1</v>
      </c>
      <c r="B702">
        <v>22358.1</v>
      </c>
      <c r="C702">
        <v>36.923200000000001</v>
      </c>
      <c r="D702">
        <v>24.0703</v>
      </c>
      <c r="E702">
        <v>664.16099999999994</v>
      </c>
      <c r="F702">
        <v>548.58299999999997</v>
      </c>
      <c r="G702">
        <f t="shared" si="29"/>
        <v>0.86128213270357801</v>
      </c>
      <c r="H702">
        <f t="shared" si="30"/>
        <v>0.70019815896594706</v>
      </c>
    </row>
    <row r="703" spans="1:8" x14ac:dyDescent="0.2">
      <c r="A703">
        <v>33610.9</v>
      </c>
      <c r="B703">
        <v>28289.7</v>
      </c>
      <c r="C703">
        <v>38.990200000000002</v>
      </c>
      <c r="D703">
        <v>28.1646</v>
      </c>
      <c r="E703">
        <v>690.02700000000004</v>
      </c>
      <c r="F703">
        <v>611.54600000000005</v>
      </c>
      <c r="G703">
        <f t="shared" si="29"/>
        <v>0.88706913774680551</v>
      </c>
      <c r="H703">
        <f t="shared" si="30"/>
        <v>0.71292007282871117</v>
      </c>
    </row>
    <row r="704" spans="1:8" x14ac:dyDescent="0.2">
      <c r="A704">
        <v>34246.199999999997</v>
      </c>
      <c r="B704">
        <v>47779.5</v>
      </c>
      <c r="C704">
        <v>28.0199</v>
      </c>
      <c r="D704">
        <v>41.035800000000002</v>
      </c>
      <c r="E704">
        <v>686.72500000000002</v>
      </c>
      <c r="F704">
        <v>964.35400000000004</v>
      </c>
      <c r="G704">
        <f t="shared" si="29"/>
        <v>0.91254895012445747</v>
      </c>
      <c r="H704">
        <f t="shared" si="30"/>
        <v>0.48421628212303502</v>
      </c>
    </row>
    <row r="705" spans="1:8" x14ac:dyDescent="0.2">
      <c r="A705">
        <v>28545.4</v>
      </c>
      <c r="B705">
        <v>33922</v>
      </c>
      <c r="C705">
        <v>32.295099999999998</v>
      </c>
      <c r="D705">
        <v>34.274799999999999</v>
      </c>
      <c r="E705">
        <v>665.26199999999994</v>
      </c>
      <c r="F705">
        <v>665.30200000000002</v>
      </c>
      <c r="G705">
        <f t="shared" si="29"/>
        <v>0.81051339388294696</v>
      </c>
      <c r="H705">
        <f t="shared" si="30"/>
        <v>0.72229490664619089</v>
      </c>
    </row>
    <row r="706" spans="1:8" x14ac:dyDescent="0.2">
      <c r="A706">
        <v>29484.799999999999</v>
      </c>
      <c r="B706">
        <v>6319.05</v>
      </c>
      <c r="C706">
        <v>28.713999999999999</v>
      </c>
      <c r="D706">
        <v>115.678</v>
      </c>
      <c r="E706">
        <v>634.13</v>
      </c>
      <c r="F706">
        <v>1543</v>
      </c>
      <c r="G706">
        <f t="shared" si="29"/>
        <v>0.9214061020966654</v>
      </c>
      <c r="H706">
        <f t="shared" si="30"/>
        <v>2.501443513154341E-2</v>
      </c>
    </row>
    <row r="707" spans="1:8" x14ac:dyDescent="0.2">
      <c r="A707">
        <v>34107.800000000003</v>
      </c>
      <c r="B707">
        <v>18820.5</v>
      </c>
      <c r="C707">
        <v>36.921199999999999</v>
      </c>
      <c r="D707">
        <v>24.6477</v>
      </c>
      <c r="E707">
        <v>690.37</v>
      </c>
      <c r="F707">
        <v>492.98</v>
      </c>
      <c r="G707">
        <f t="shared" ref="G707:G770" si="31" xml:space="preserve"> 3.14159*4*A707/(E707*E707)</f>
        <v>0.89928921114072369</v>
      </c>
      <c r="H707">
        <f t="shared" ref="H707:H770" si="32" xml:space="preserve"> 3*3.14159*B707/(F707*F707)</f>
        <v>0.72986630867298563</v>
      </c>
    </row>
    <row r="708" spans="1:8" x14ac:dyDescent="0.2">
      <c r="A708">
        <v>31811.9</v>
      </c>
      <c r="B708">
        <v>19706</v>
      </c>
      <c r="C708">
        <v>29.127500000000001</v>
      </c>
      <c r="D708">
        <v>21.291599999999999</v>
      </c>
      <c r="E708">
        <v>671.04700000000003</v>
      </c>
      <c r="F708">
        <v>512.69899999999996</v>
      </c>
      <c r="G708">
        <f t="shared" si="31"/>
        <v>0.88775520543691266</v>
      </c>
      <c r="H708">
        <f t="shared" si="32"/>
        <v>0.70655227370296669</v>
      </c>
    </row>
    <row r="709" spans="1:8" x14ac:dyDescent="0.2">
      <c r="A709">
        <v>27198.400000000001</v>
      </c>
      <c r="B709">
        <v>28693.3</v>
      </c>
      <c r="C709">
        <v>22.654900000000001</v>
      </c>
      <c r="D709">
        <v>28.9619</v>
      </c>
      <c r="E709">
        <v>628.19200000000001</v>
      </c>
      <c r="F709">
        <v>615.55999999999995</v>
      </c>
      <c r="G709">
        <f t="shared" si="31"/>
        <v>0.86610002470417458</v>
      </c>
      <c r="H709">
        <f t="shared" si="32"/>
        <v>0.7136914232930277</v>
      </c>
    </row>
    <row r="710" spans="1:8" x14ac:dyDescent="0.2">
      <c r="A710">
        <v>27745.599999999999</v>
      </c>
      <c r="B710">
        <v>20843.400000000001</v>
      </c>
      <c r="C710">
        <v>34.5595</v>
      </c>
      <c r="D710">
        <v>31.4587</v>
      </c>
      <c r="E710">
        <v>605.64700000000005</v>
      </c>
      <c r="F710">
        <v>521.43600000000004</v>
      </c>
      <c r="G710">
        <f t="shared" si="31"/>
        <v>0.95052704326334359</v>
      </c>
      <c r="H710">
        <f t="shared" si="32"/>
        <v>0.72249908330090751</v>
      </c>
    </row>
    <row r="711" spans="1:8" x14ac:dyDescent="0.2">
      <c r="A711">
        <v>31736.9</v>
      </c>
      <c r="B711">
        <v>40549.4</v>
      </c>
      <c r="C711">
        <v>32.031700000000001</v>
      </c>
      <c r="D711">
        <v>50.258000000000003</v>
      </c>
      <c r="E711">
        <v>674.31799999999998</v>
      </c>
      <c r="F711">
        <v>1004.02</v>
      </c>
      <c r="G711">
        <f t="shared" si="31"/>
        <v>0.87709067789346962</v>
      </c>
      <c r="H711">
        <f t="shared" si="32"/>
        <v>0.3791145609252109</v>
      </c>
    </row>
    <row r="712" spans="1:8" x14ac:dyDescent="0.2">
      <c r="A712">
        <v>28500.6</v>
      </c>
      <c r="B712">
        <v>30425.9</v>
      </c>
      <c r="C712">
        <v>32.8551</v>
      </c>
      <c r="D712">
        <v>30.760100000000001</v>
      </c>
      <c r="E712">
        <v>611.18299999999999</v>
      </c>
      <c r="F712">
        <v>635.26800000000003</v>
      </c>
      <c r="G712">
        <f t="shared" si="31"/>
        <v>0.95878442033126332</v>
      </c>
      <c r="H712">
        <f t="shared" si="32"/>
        <v>0.71055914835653811</v>
      </c>
    </row>
    <row r="713" spans="1:8" x14ac:dyDescent="0.2">
      <c r="A713">
        <v>24879.200000000001</v>
      </c>
      <c r="B713">
        <v>25160.9</v>
      </c>
      <c r="C713">
        <v>47.3172</v>
      </c>
      <c r="D713">
        <v>27.317599999999999</v>
      </c>
      <c r="E713">
        <v>612.29200000000003</v>
      </c>
      <c r="F713">
        <v>566.97500000000002</v>
      </c>
      <c r="G713">
        <f t="shared" si="31"/>
        <v>0.83392835005819221</v>
      </c>
      <c r="H713">
        <f t="shared" si="32"/>
        <v>0.73768187500382643</v>
      </c>
    </row>
    <row r="714" spans="1:8" x14ac:dyDescent="0.2">
      <c r="A714">
        <v>22334.6</v>
      </c>
      <c r="B714">
        <v>20524.400000000001</v>
      </c>
      <c r="C714">
        <v>28.620100000000001</v>
      </c>
      <c r="D714">
        <v>28.638400000000001</v>
      </c>
      <c r="E714">
        <v>541.25900000000001</v>
      </c>
      <c r="F714">
        <v>517.048</v>
      </c>
      <c r="G714">
        <f t="shared" si="31"/>
        <v>0.95802626213178499</v>
      </c>
      <c r="H714">
        <f t="shared" si="32"/>
        <v>0.72356825601209307</v>
      </c>
    </row>
    <row r="715" spans="1:8" x14ac:dyDescent="0.2">
      <c r="A715">
        <v>26288.7</v>
      </c>
      <c r="B715">
        <v>22788.1</v>
      </c>
      <c r="C715">
        <v>32.500900000000001</v>
      </c>
      <c r="D715">
        <v>23.042100000000001</v>
      </c>
      <c r="E715">
        <v>586.89700000000005</v>
      </c>
      <c r="F715">
        <v>543.39800000000002</v>
      </c>
      <c r="G715">
        <f t="shared" si="31"/>
        <v>0.95907998638076419</v>
      </c>
      <c r="H715">
        <f t="shared" si="32"/>
        <v>0.7273489326657081</v>
      </c>
    </row>
    <row r="716" spans="1:8" x14ac:dyDescent="0.2">
      <c r="A716">
        <v>30695.1</v>
      </c>
      <c r="B716">
        <v>27233.8</v>
      </c>
      <c r="C716">
        <v>31.9299</v>
      </c>
      <c r="D716">
        <v>32.5184</v>
      </c>
      <c r="E716">
        <v>640.75199999999995</v>
      </c>
      <c r="F716">
        <v>618.548</v>
      </c>
      <c r="G716">
        <f t="shared" si="31"/>
        <v>0.93950394683519134</v>
      </c>
      <c r="H716">
        <f t="shared" si="32"/>
        <v>0.6708604518066984</v>
      </c>
    </row>
    <row r="717" spans="1:8" x14ac:dyDescent="0.2">
      <c r="A717">
        <v>36596.9</v>
      </c>
      <c r="B717">
        <v>26793.1</v>
      </c>
      <c r="C717">
        <v>32.363599999999998</v>
      </c>
      <c r="D717">
        <v>32.326500000000003</v>
      </c>
      <c r="E717">
        <v>698.87</v>
      </c>
      <c r="F717">
        <v>594.28200000000004</v>
      </c>
      <c r="G717">
        <f t="shared" si="31"/>
        <v>0.94158818464931071</v>
      </c>
      <c r="H717">
        <f t="shared" si="32"/>
        <v>0.7150041673493629</v>
      </c>
    </row>
    <row r="718" spans="1:8" x14ac:dyDescent="0.2">
      <c r="A718">
        <v>38276.9</v>
      </c>
      <c r="B718">
        <v>20813.8</v>
      </c>
      <c r="C718">
        <v>25.393899999999999</v>
      </c>
      <c r="D718">
        <v>38.308599999999998</v>
      </c>
      <c r="E718">
        <v>702.25</v>
      </c>
      <c r="F718">
        <v>522.30700000000002</v>
      </c>
      <c r="G718">
        <f t="shared" si="31"/>
        <v>0.97535509956161104</v>
      </c>
      <c r="H718">
        <f t="shared" si="32"/>
        <v>0.71906879945871238</v>
      </c>
    </row>
    <row r="719" spans="1:8" x14ac:dyDescent="0.2">
      <c r="A719">
        <v>28479.1</v>
      </c>
      <c r="B719">
        <v>23924.5</v>
      </c>
      <c r="C719">
        <v>35.768999999999998</v>
      </c>
      <c r="D719">
        <v>22.811900000000001</v>
      </c>
      <c r="E719">
        <v>630.57299999999998</v>
      </c>
      <c r="F719">
        <v>557.43299999999999</v>
      </c>
      <c r="G719">
        <f t="shared" si="31"/>
        <v>0.90004664119570632</v>
      </c>
      <c r="H719">
        <f t="shared" si="32"/>
        <v>0.72565180534711726</v>
      </c>
    </row>
    <row r="720" spans="1:8" x14ac:dyDescent="0.2">
      <c r="A720">
        <v>32242.6</v>
      </c>
      <c r="B720">
        <v>21006.400000000001</v>
      </c>
      <c r="C720">
        <v>34.784599999999998</v>
      </c>
      <c r="D720">
        <v>35.954500000000003</v>
      </c>
      <c r="E720">
        <v>648.46</v>
      </c>
      <c r="F720">
        <v>528.91600000000005</v>
      </c>
      <c r="G720">
        <f t="shared" si="31"/>
        <v>0.96354758830372433</v>
      </c>
      <c r="H720">
        <f t="shared" si="32"/>
        <v>0.70769965165187676</v>
      </c>
    </row>
    <row r="721" spans="1:8" x14ac:dyDescent="0.2">
      <c r="A721">
        <v>25990.400000000001</v>
      </c>
      <c r="B721">
        <v>28691.4</v>
      </c>
      <c r="C721">
        <v>27.745999999999999</v>
      </c>
      <c r="D721">
        <v>27.337599999999998</v>
      </c>
      <c r="E721">
        <v>577.72900000000004</v>
      </c>
      <c r="F721">
        <v>616.596</v>
      </c>
      <c r="G721">
        <f t="shared" si="31"/>
        <v>0.97852995363302619</v>
      </c>
      <c r="H721">
        <f t="shared" si="32"/>
        <v>0.71124805984333328</v>
      </c>
    </row>
    <row r="722" spans="1:8" x14ac:dyDescent="0.2">
      <c r="A722">
        <v>28231</v>
      </c>
      <c r="B722">
        <v>32500.5</v>
      </c>
      <c r="C722">
        <v>31.428599999999999</v>
      </c>
      <c r="D722">
        <v>37.323099999999997</v>
      </c>
      <c r="E722">
        <v>612.13099999999997</v>
      </c>
      <c r="F722">
        <v>651.77700000000004</v>
      </c>
      <c r="G722">
        <f t="shared" si="31"/>
        <v>0.94677550071953698</v>
      </c>
      <c r="H722">
        <f t="shared" si="32"/>
        <v>0.72104561666105838</v>
      </c>
    </row>
    <row r="723" spans="1:8" x14ac:dyDescent="0.2">
      <c r="A723">
        <v>23542.799999999999</v>
      </c>
      <c r="B723">
        <v>23907.8</v>
      </c>
      <c r="C723">
        <v>28.370899999999999</v>
      </c>
      <c r="D723">
        <v>24.649000000000001</v>
      </c>
      <c r="E723">
        <v>569.77200000000005</v>
      </c>
      <c r="F723">
        <v>562.33199999999999</v>
      </c>
      <c r="G723">
        <f t="shared" si="31"/>
        <v>0.91130846454492231</v>
      </c>
      <c r="H723">
        <f t="shared" si="32"/>
        <v>0.71256547862127029</v>
      </c>
    </row>
    <row r="724" spans="1:8" x14ac:dyDescent="0.2">
      <c r="A724">
        <v>29397.5</v>
      </c>
      <c r="B724">
        <v>3371.82</v>
      </c>
      <c r="C724">
        <v>45.500399999999999</v>
      </c>
      <c r="D724">
        <v>47.940399999999997</v>
      </c>
      <c r="E724">
        <v>646.10699999999997</v>
      </c>
      <c r="F724">
        <v>949.76400000000001</v>
      </c>
      <c r="G724">
        <f t="shared" si="31"/>
        <v>0.88493424914944152</v>
      </c>
      <c r="H724">
        <f t="shared" si="32"/>
        <v>3.5229277370906684E-2</v>
      </c>
    </row>
    <row r="725" spans="1:8" x14ac:dyDescent="0.2">
      <c r="A725">
        <v>24012</v>
      </c>
      <c r="B725">
        <v>21066.799999999999</v>
      </c>
      <c r="C725">
        <v>29.618200000000002</v>
      </c>
      <c r="D725">
        <v>32.758699999999997</v>
      </c>
      <c r="E725">
        <v>566.06299999999999</v>
      </c>
      <c r="F725">
        <v>529.60500000000002</v>
      </c>
      <c r="G725">
        <f t="shared" si="31"/>
        <v>0.94169072833487599</v>
      </c>
      <c r="H725">
        <f t="shared" si="32"/>
        <v>0.70788902571264001</v>
      </c>
    </row>
    <row r="726" spans="1:8" x14ac:dyDescent="0.2">
      <c r="A726">
        <v>29259.4</v>
      </c>
      <c r="B726">
        <v>5215.05</v>
      </c>
      <c r="C726">
        <v>28.797499999999999</v>
      </c>
      <c r="D726">
        <v>122.27800000000001</v>
      </c>
      <c r="E726">
        <v>645.88599999999997</v>
      </c>
      <c r="F726">
        <v>1129.06</v>
      </c>
      <c r="G726">
        <f t="shared" si="31"/>
        <v>0.88137995912211686</v>
      </c>
      <c r="H726">
        <f t="shared" si="32"/>
        <v>3.8556286079028827E-2</v>
      </c>
    </row>
    <row r="727" spans="1:8" x14ac:dyDescent="0.2">
      <c r="A727">
        <v>8204.48</v>
      </c>
      <c r="B727">
        <v>23504.5</v>
      </c>
      <c r="C727">
        <v>80.460800000000006</v>
      </c>
      <c r="D727">
        <v>30.813400000000001</v>
      </c>
      <c r="E727">
        <v>1054.07</v>
      </c>
      <c r="F727">
        <v>567.649</v>
      </c>
      <c r="G727">
        <f t="shared" si="31"/>
        <v>9.2794375182377112E-2</v>
      </c>
      <c r="H727">
        <f t="shared" si="32"/>
        <v>0.68748309495184456</v>
      </c>
    </row>
    <row r="728" spans="1:8" x14ac:dyDescent="0.2">
      <c r="A728">
        <v>27128.3</v>
      </c>
      <c r="B728">
        <v>39468.400000000001</v>
      </c>
      <c r="C728">
        <v>33.202500000000001</v>
      </c>
      <c r="D728">
        <v>47.506399999999999</v>
      </c>
      <c r="E728">
        <v>600.07500000000005</v>
      </c>
      <c r="F728">
        <v>874.68799999999999</v>
      </c>
      <c r="G728">
        <f t="shared" si="31"/>
        <v>0.94671881658115076</v>
      </c>
      <c r="H728">
        <f t="shared" si="32"/>
        <v>0.48619886958007891</v>
      </c>
    </row>
    <row r="729" spans="1:8" x14ac:dyDescent="0.2">
      <c r="A729">
        <v>17299.400000000001</v>
      </c>
      <c r="B729">
        <v>20449.3</v>
      </c>
      <c r="C729">
        <v>418.11599999999999</v>
      </c>
      <c r="D729">
        <v>25.161300000000001</v>
      </c>
      <c r="E729">
        <v>1183.99</v>
      </c>
      <c r="F729">
        <v>517.173</v>
      </c>
      <c r="G729">
        <f t="shared" si="31"/>
        <v>0.155075956708212</v>
      </c>
      <c r="H729">
        <f t="shared" si="32"/>
        <v>0.72057222778992869</v>
      </c>
    </row>
    <row r="730" spans="1:8" x14ac:dyDescent="0.2">
      <c r="A730">
        <v>28612.7</v>
      </c>
      <c r="B730">
        <v>8330.26</v>
      </c>
      <c r="C730">
        <v>25.3399</v>
      </c>
      <c r="D730">
        <v>265.476</v>
      </c>
      <c r="E730">
        <v>611.22199999999998</v>
      </c>
      <c r="F730">
        <v>1207.76</v>
      </c>
      <c r="G730">
        <f t="shared" si="31"/>
        <v>0.96243272877516228</v>
      </c>
      <c r="H730">
        <f t="shared" si="32"/>
        <v>5.3823016382103066E-2</v>
      </c>
    </row>
    <row r="731" spans="1:8" x14ac:dyDescent="0.2">
      <c r="A731">
        <v>37439.699999999997</v>
      </c>
      <c r="B731">
        <v>20638.7</v>
      </c>
      <c r="C731">
        <v>27.394600000000001</v>
      </c>
      <c r="D731">
        <v>26.9377</v>
      </c>
      <c r="E731">
        <v>713.31799999999998</v>
      </c>
      <c r="F731">
        <v>519.26</v>
      </c>
      <c r="G731">
        <f t="shared" si="31"/>
        <v>0.92464599064854736</v>
      </c>
      <c r="H731">
        <f t="shared" si="32"/>
        <v>0.72141199788224897</v>
      </c>
    </row>
    <row r="732" spans="1:8" x14ac:dyDescent="0.2">
      <c r="A732">
        <v>34315.4</v>
      </c>
      <c r="B732">
        <v>23654.6</v>
      </c>
      <c r="C732">
        <v>50.356999999999999</v>
      </c>
      <c r="D732">
        <v>30.762</v>
      </c>
      <c r="E732">
        <v>702.59100000000001</v>
      </c>
      <c r="F732">
        <v>555.49</v>
      </c>
      <c r="G732">
        <f t="shared" si="31"/>
        <v>0.87356132475903114</v>
      </c>
      <c r="H732">
        <f t="shared" si="32"/>
        <v>0.72249339117239852</v>
      </c>
    </row>
    <row r="733" spans="1:8" x14ac:dyDescent="0.2">
      <c r="A733">
        <v>49732.7</v>
      </c>
      <c r="B733">
        <v>21338.6</v>
      </c>
      <c r="C733">
        <v>26.194299999999998</v>
      </c>
      <c r="D733">
        <v>29.358699999999999</v>
      </c>
      <c r="E733">
        <v>822.21799999999996</v>
      </c>
      <c r="F733">
        <v>533.13</v>
      </c>
      <c r="G733">
        <f t="shared" si="31"/>
        <v>0.92443754331759442</v>
      </c>
      <c r="H733">
        <f t="shared" si="32"/>
        <v>0.70757167606338078</v>
      </c>
    </row>
    <row r="734" spans="1:8" x14ac:dyDescent="0.2">
      <c r="A734">
        <v>37337.5</v>
      </c>
      <c r="B734">
        <v>23776.2</v>
      </c>
      <c r="C734">
        <v>40.572699999999998</v>
      </c>
      <c r="D734">
        <v>23.412400000000002</v>
      </c>
      <c r="E734">
        <v>788.43499999999995</v>
      </c>
      <c r="F734">
        <v>550.37599999999998</v>
      </c>
      <c r="G734">
        <f t="shared" si="31"/>
        <v>0.75478444698787017</v>
      </c>
      <c r="H734">
        <f t="shared" si="32"/>
        <v>0.73976576782579195</v>
      </c>
    </row>
    <row r="735" spans="1:8" x14ac:dyDescent="0.2">
      <c r="A735">
        <v>36366.6</v>
      </c>
      <c r="B735">
        <v>24694.5</v>
      </c>
      <c r="C735">
        <v>30.023800000000001</v>
      </c>
      <c r="D735">
        <v>30.749600000000001</v>
      </c>
      <c r="E735">
        <v>688.48500000000001</v>
      </c>
      <c r="F735">
        <v>613.26900000000001</v>
      </c>
      <c r="G735">
        <f t="shared" si="31"/>
        <v>0.96410254976795851</v>
      </c>
      <c r="H735">
        <f t="shared" si="32"/>
        <v>0.61882660008233992</v>
      </c>
    </row>
    <row r="736" spans="1:8" x14ac:dyDescent="0.2">
      <c r="A736">
        <v>23538</v>
      </c>
      <c r="B736">
        <v>21441.3</v>
      </c>
      <c r="C736">
        <v>36.383899999999997</v>
      </c>
      <c r="D736">
        <v>26.345800000000001</v>
      </c>
      <c r="E736">
        <v>593.495</v>
      </c>
      <c r="F736">
        <v>533.59400000000005</v>
      </c>
      <c r="G736">
        <f t="shared" si="31"/>
        <v>0.83974016608425639</v>
      </c>
      <c r="H736">
        <f t="shared" si="32"/>
        <v>0.70974117135860604</v>
      </c>
    </row>
    <row r="737" spans="1:8" x14ac:dyDescent="0.2">
      <c r="A737">
        <v>28332</v>
      </c>
      <c r="B737">
        <v>30891.3</v>
      </c>
      <c r="C737">
        <v>35.502400000000002</v>
      </c>
      <c r="D737">
        <v>21.010999999999999</v>
      </c>
      <c r="E737">
        <v>651.48800000000006</v>
      </c>
      <c r="F737">
        <v>635.76300000000003</v>
      </c>
      <c r="G737">
        <f t="shared" si="31"/>
        <v>0.83882987389775099</v>
      </c>
      <c r="H737">
        <f t="shared" si="32"/>
        <v>0.72030502916592309</v>
      </c>
    </row>
    <row r="738" spans="1:8" x14ac:dyDescent="0.2">
      <c r="A738">
        <v>2504</v>
      </c>
      <c r="B738">
        <v>21402.1</v>
      </c>
      <c r="C738">
        <v>121.89700000000001</v>
      </c>
      <c r="D738">
        <v>32.6571</v>
      </c>
      <c r="E738">
        <v>1010.34</v>
      </c>
      <c r="F738">
        <v>526.20799999999997</v>
      </c>
      <c r="G738">
        <f t="shared" si="31"/>
        <v>3.0825400442662174E-2</v>
      </c>
      <c r="H738">
        <f t="shared" si="32"/>
        <v>0.72847098192127735</v>
      </c>
    </row>
    <row r="739" spans="1:8" x14ac:dyDescent="0.2">
      <c r="A739">
        <v>7792.34</v>
      </c>
      <c r="B739">
        <v>31113.9</v>
      </c>
      <c r="C739">
        <v>585.61599999999999</v>
      </c>
      <c r="D739">
        <v>27.508099999999999</v>
      </c>
      <c r="E739">
        <v>633.28200000000004</v>
      </c>
      <c r="F739">
        <v>648.21799999999996</v>
      </c>
      <c r="G739">
        <f t="shared" si="31"/>
        <v>0.24416482731521655</v>
      </c>
      <c r="H739">
        <f t="shared" si="32"/>
        <v>0.69788367450175914</v>
      </c>
    </row>
    <row r="740" spans="1:8" x14ac:dyDescent="0.2">
      <c r="A740">
        <v>35405.800000000003</v>
      </c>
      <c r="B740">
        <v>25611.599999999999</v>
      </c>
      <c r="C740">
        <v>40.749600000000001</v>
      </c>
      <c r="D740">
        <v>20.663599999999999</v>
      </c>
      <c r="E740">
        <v>687.39400000000001</v>
      </c>
      <c r="F740">
        <v>580.46799999999996</v>
      </c>
      <c r="G740">
        <f t="shared" si="31"/>
        <v>0.94161297644821984</v>
      </c>
      <c r="H740">
        <f t="shared" si="32"/>
        <v>0.71639229303463658</v>
      </c>
    </row>
    <row r="741" spans="1:8" x14ac:dyDescent="0.2">
      <c r="A741">
        <v>24947.4</v>
      </c>
      <c r="B741">
        <v>22347.7</v>
      </c>
      <c r="C741">
        <v>29.417100000000001</v>
      </c>
      <c r="D741">
        <v>22.1355</v>
      </c>
      <c r="E741">
        <v>577.98699999999997</v>
      </c>
      <c r="F741">
        <v>539.029</v>
      </c>
      <c r="G741">
        <f t="shared" si="31"/>
        <v>0.93842300716693483</v>
      </c>
      <c r="H741">
        <f t="shared" si="32"/>
        <v>0.72490205538085728</v>
      </c>
    </row>
    <row r="742" spans="1:8" x14ac:dyDescent="0.2">
      <c r="A742">
        <v>2389.59</v>
      </c>
      <c r="B742">
        <v>26569.599999999999</v>
      </c>
      <c r="C742">
        <v>57.816499999999998</v>
      </c>
      <c r="D742">
        <v>24.139099999999999</v>
      </c>
      <c r="E742">
        <v>989.68700000000001</v>
      </c>
      <c r="F742">
        <v>584.75400000000002</v>
      </c>
      <c r="G742">
        <f t="shared" si="31"/>
        <v>3.065752972797274E-2</v>
      </c>
      <c r="H742">
        <f t="shared" si="32"/>
        <v>0.73233429799607508</v>
      </c>
    </row>
    <row r="743" spans="1:8" x14ac:dyDescent="0.2">
      <c r="A743">
        <v>2930.83</v>
      </c>
      <c r="B743">
        <v>23282.400000000001</v>
      </c>
      <c r="C743">
        <v>63.906399999999998</v>
      </c>
      <c r="D743">
        <v>28.316600000000001</v>
      </c>
      <c r="E743">
        <v>958.029</v>
      </c>
      <c r="F743">
        <v>546.52700000000004</v>
      </c>
      <c r="G743">
        <f t="shared" si="31"/>
        <v>4.0127565688992783E-2</v>
      </c>
      <c r="H743">
        <f t="shared" si="32"/>
        <v>0.73464116913638788</v>
      </c>
    </row>
    <row r="744" spans="1:8" x14ac:dyDescent="0.2">
      <c r="A744">
        <v>4082.53</v>
      </c>
      <c r="B744">
        <v>22655.4</v>
      </c>
      <c r="C744">
        <v>101.26600000000001</v>
      </c>
      <c r="D744">
        <v>27.4556</v>
      </c>
      <c r="E744">
        <v>854.74</v>
      </c>
      <c r="F744">
        <v>548.976</v>
      </c>
      <c r="G744">
        <f t="shared" si="31"/>
        <v>7.0221616873130874E-2</v>
      </c>
      <c r="H744">
        <f t="shared" si="32"/>
        <v>0.70849334961283084</v>
      </c>
    </row>
    <row r="745" spans="1:8" x14ac:dyDescent="0.2">
      <c r="A745">
        <v>2916.55</v>
      </c>
      <c r="B745">
        <v>24162.7</v>
      </c>
      <c r="C745">
        <v>67.907799999999995</v>
      </c>
      <c r="D745">
        <v>21.5685</v>
      </c>
      <c r="E745">
        <v>973.79200000000003</v>
      </c>
      <c r="F745">
        <v>554.755</v>
      </c>
      <c r="G745">
        <f t="shared" si="31"/>
        <v>3.8649734830453614E-2</v>
      </c>
      <c r="H745">
        <f t="shared" si="32"/>
        <v>0.73996941918962489</v>
      </c>
    </row>
    <row r="746" spans="1:8" x14ac:dyDescent="0.2">
      <c r="A746">
        <v>3180.35</v>
      </c>
      <c r="B746">
        <v>25106.6</v>
      </c>
      <c r="C746">
        <v>63.949599999999997</v>
      </c>
      <c r="D746">
        <v>42.292299999999997</v>
      </c>
      <c r="E746">
        <v>861.87099999999998</v>
      </c>
      <c r="F746">
        <v>591.97299999999996</v>
      </c>
      <c r="G746">
        <f t="shared" si="31"/>
        <v>5.3802180652082796E-2</v>
      </c>
      <c r="H746">
        <f t="shared" si="32"/>
        <v>0.67523487690118966</v>
      </c>
    </row>
    <row r="747" spans="1:8" x14ac:dyDescent="0.2">
      <c r="A747">
        <v>4517.34</v>
      </c>
      <c r="B747">
        <v>24433.200000000001</v>
      </c>
      <c r="C747">
        <v>126.265</v>
      </c>
      <c r="D747">
        <v>94.705200000000005</v>
      </c>
      <c r="E747">
        <v>1142.74</v>
      </c>
      <c r="F747">
        <v>1305.21</v>
      </c>
      <c r="G747">
        <f t="shared" si="31"/>
        <v>4.3470778450329949E-2</v>
      </c>
      <c r="H747">
        <f t="shared" si="32"/>
        <v>0.13517311608340465</v>
      </c>
    </row>
    <row r="748" spans="1:8" x14ac:dyDescent="0.2">
      <c r="A748">
        <v>27381.1</v>
      </c>
      <c r="B748">
        <v>22088</v>
      </c>
      <c r="C748">
        <v>27.118099999999998</v>
      </c>
      <c r="D748">
        <v>26.753</v>
      </c>
      <c r="E748">
        <v>597.65200000000004</v>
      </c>
      <c r="F748">
        <v>539.44899999999996</v>
      </c>
      <c r="G748">
        <f t="shared" si="31"/>
        <v>0.96330460010783248</v>
      </c>
      <c r="H748">
        <f t="shared" si="32"/>
        <v>0.71536282814438334</v>
      </c>
    </row>
    <row r="749" spans="1:8" x14ac:dyDescent="0.2">
      <c r="A749">
        <v>30657</v>
      </c>
      <c r="B749">
        <v>21862.2</v>
      </c>
      <c r="C749">
        <v>36.887599999999999</v>
      </c>
      <c r="D749">
        <v>36.521700000000003</v>
      </c>
      <c r="E749">
        <v>673.39499999999998</v>
      </c>
      <c r="F749">
        <v>552.97500000000002</v>
      </c>
      <c r="G749">
        <f t="shared" si="31"/>
        <v>0.84957040698982178</v>
      </c>
      <c r="H749">
        <f t="shared" si="32"/>
        <v>0.67383509907603278</v>
      </c>
    </row>
    <row r="750" spans="1:8" x14ac:dyDescent="0.2">
      <c r="A750">
        <v>21887.599999999999</v>
      </c>
      <c r="B750">
        <v>23042.3</v>
      </c>
      <c r="C750">
        <v>31.514099999999999</v>
      </c>
      <c r="D750">
        <v>27.977699999999999</v>
      </c>
      <c r="E750">
        <v>549.31799999999998</v>
      </c>
      <c r="F750">
        <v>547.64300000000003</v>
      </c>
      <c r="G750">
        <f t="shared" si="31"/>
        <v>0.91150694108909291</v>
      </c>
      <c r="H750">
        <f t="shared" si="32"/>
        <v>0.72410493190055769</v>
      </c>
    </row>
    <row r="751" spans="1:8" x14ac:dyDescent="0.2">
      <c r="A751">
        <v>26400</v>
      </c>
      <c r="B751">
        <v>22239.3</v>
      </c>
      <c r="C751">
        <v>29.450900000000001</v>
      </c>
      <c r="D751">
        <v>34.844299999999997</v>
      </c>
      <c r="E751">
        <v>605.48599999999999</v>
      </c>
      <c r="F751">
        <v>553.31299999999999</v>
      </c>
      <c r="G751">
        <f t="shared" si="31"/>
        <v>0.90490963487215614</v>
      </c>
      <c r="H751">
        <f t="shared" si="32"/>
        <v>0.68462085716995191</v>
      </c>
    </row>
    <row r="752" spans="1:8" x14ac:dyDescent="0.2">
      <c r="A752">
        <v>25605.5</v>
      </c>
      <c r="B752">
        <v>3779.11</v>
      </c>
      <c r="C752">
        <v>37.631799999999998</v>
      </c>
      <c r="D752">
        <v>82.8048</v>
      </c>
      <c r="E752">
        <v>595.61099999999999</v>
      </c>
      <c r="F752">
        <v>907.72900000000004</v>
      </c>
      <c r="G752">
        <f t="shared" si="31"/>
        <v>0.90702099139152781</v>
      </c>
      <c r="H752">
        <f t="shared" si="32"/>
        <v>4.3226281061605136E-2</v>
      </c>
    </row>
    <row r="753" spans="1:8" x14ac:dyDescent="0.2">
      <c r="A753">
        <v>21780.9</v>
      </c>
      <c r="B753">
        <v>25726.400000000001</v>
      </c>
      <c r="C753">
        <v>28.201000000000001</v>
      </c>
      <c r="D753">
        <v>29.3276</v>
      </c>
      <c r="E753">
        <v>534.64200000000005</v>
      </c>
      <c r="F753">
        <v>578.19600000000003</v>
      </c>
      <c r="G753">
        <f t="shared" si="31"/>
        <v>0.95754495579343002</v>
      </c>
      <c r="H753">
        <f t="shared" si="32"/>
        <v>0.72526983132604861</v>
      </c>
    </row>
    <row r="754" spans="1:8" x14ac:dyDescent="0.2">
      <c r="A754">
        <v>38018.800000000003</v>
      </c>
      <c r="B754">
        <v>28741.1</v>
      </c>
      <c r="C754">
        <v>32.139200000000002</v>
      </c>
      <c r="D754">
        <v>27.8505</v>
      </c>
      <c r="E754">
        <v>720.64099999999996</v>
      </c>
      <c r="F754">
        <v>610.38400000000001</v>
      </c>
      <c r="G754">
        <f t="shared" si="31"/>
        <v>0.91996216761926197</v>
      </c>
      <c r="H754">
        <f t="shared" si="32"/>
        <v>0.72705600280042471</v>
      </c>
    </row>
    <row r="755" spans="1:8" x14ac:dyDescent="0.2">
      <c r="A755">
        <v>22813.599999999999</v>
      </c>
      <c r="B755">
        <v>3614.55</v>
      </c>
      <c r="C755">
        <v>30.575600000000001</v>
      </c>
      <c r="D755">
        <v>83.741600000000005</v>
      </c>
      <c r="E755">
        <v>549.48199999999997</v>
      </c>
      <c r="F755">
        <v>1012.05</v>
      </c>
      <c r="G755">
        <f t="shared" si="31"/>
        <v>0.94950308290305108</v>
      </c>
      <c r="H755">
        <f t="shared" si="32"/>
        <v>3.3259909170528922E-2</v>
      </c>
    </row>
    <row r="756" spans="1:8" x14ac:dyDescent="0.2">
      <c r="A756">
        <v>26946.9</v>
      </c>
      <c r="B756">
        <v>23849.5</v>
      </c>
      <c r="C756">
        <v>34.891100000000002</v>
      </c>
      <c r="D756">
        <v>24.351900000000001</v>
      </c>
      <c r="E756">
        <v>634.42899999999997</v>
      </c>
      <c r="F756">
        <v>558.56700000000001</v>
      </c>
      <c r="G756">
        <f t="shared" si="31"/>
        <v>0.84130264597836979</v>
      </c>
      <c r="H756">
        <f t="shared" si="32"/>
        <v>0.72044277592901629</v>
      </c>
    </row>
    <row r="757" spans="1:8" x14ac:dyDescent="0.2">
      <c r="A757">
        <v>40882.9</v>
      </c>
      <c r="B757">
        <v>31680.2</v>
      </c>
      <c r="C757">
        <v>37.430999999999997</v>
      </c>
      <c r="D757">
        <v>29.503499999999999</v>
      </c>
      <c r="E757">
        <v>737.06</v>
      </c>
      <c r="F757">
        <v>642.69100000000003</v>
      </c>
      <c r="G757">
        <f t="shared" si="31"/>
        <v>0.94568283471560355</v>
      </c>
      <c r="H757">
        <f t="shared" si="32"/>
        <v>0.72286007544876996</v>
      </c>
    </row>
    <row r="758" spans="1:8" x14ac:dyDescent="0.2">
      <c r="A758">
        <v>24214.7</v>
      </c>
      <c r="B758">
        <v>23849.1</v>
      </c>
      <c r="C758">
        <v>31.8688</v>
      </c>
      <c r="D758">
        <v>28.174600000000002</v>
      </c>
      <c r="E758">
        <v>589.53099999999995</v>
      </c>
      <c r="F758">
        <v>558.98299999999995</v>
      </c>
      <c r="G758">
        <f t="shared" si="31"/>
        <v>0.87553859660381306</v>
      </c>
      <c r="H758">
        <f t="shared" si="32"/>
        <v>0.71935879023771865</v>
      </c>
    </row>
    <row r="759" spans="1:8" x14ac:dyDescent="0.2">
      <c r="A759">
        <v>28875.599999999999</v>
      </c>
      <c r="B759">
        <v>26699.599999999999</v>
      </c>
      <c r="C759">
        <v>30.1922</v>
      </c>
      <c r="D759">
        <v>26.414899999999999</v>
      </c>
      <c r="E759">
        <v>641.64</v>
      </c>
      <c r="F759">
        <v>610.32100000000003</v>
      </c>
      <c r="G759">
        <f t="shared" si="31"/>
        <v>0.88136876216076521</v>
      </c>
      <c r="H759">
        <f t="shared" si="32"/>
        <v>0.67555216271020957</v>
      </c>
    </row>
    <row r="760" spans="1:8" x14ac:dyDescent="0.2">
      <c r="A760">
        <v>49836</v>
      </c>
      <c r="B760">
        <v>4264.2299999999996</v>
      </c>
      <c r="C760">
        <v>35.969299999999997</v>
      </c>
      <c r="D760">
        <v>106.675</v>
      </c>
      <c r="E760">
        <v>805.62099999999998</v>
      </c>
      <c r="F760">
        <v>875.70600000000002</v>
      </c>
      <c r="G760">
        <f t="shared" si="31"/>
        <v>0.9649195765681895</v>
      </c>
      <c r="H760">
        <f t="shared" si="32"/>
        <v>5.2407655440902014E-2</v>
      </c>
    </row>
    <row r="761" spans="1:8" x14ac:dyDescent="0.2">
      <c r="A761">
        <v>29493.9</v>
      </c>
      <c r="B761">
        <v>23396.7</v>
      </c>
      <c r="C761">
        <v>40.418399999999998</v>
      </c>
      <c r="D761">
        <v>21.276499999999999</v>
      </c>
      <c r="E761">
        <v>652.39200000000005</v>
      </c>
      <c r="F761">
        <v>545.73099999999999</v>
      </c>
      <c r="G761">
        <f t="shared" si="31"/>
        <v>0.87081208391410503</v>
      </c>
      <c r="H761">
        <f t="shared" si="32"/>
        <v>0.74040291214608389</v>
      </c>
    </row>
    <row r="762" spans="1:8" x14ac:dyDescent="0.2">
      <c r="A762">
        <v>37702</v>
      </c>
      <c r="B762">
        <v>21909.3</v>
      </c>
      <c r="C762">
        <v>25.647400000000001</v>
      </c>
      <c r="D762">
        <v>29.0855</v>
      </c>
      <c r="E762">
        <v>700.13099999999997</v>
      </c>
      <c r="F762">
        <v>540.33500000000004</v>
      </c>
      <c r="G762">
        <f t="shared" si="31"/>
        <v>0.96652985012014125</v>
      </c>
      <c r="H762">
        <f t="shared" si="32"/>
        <v>0.70725017447436311</v>
      </c>
    </row>
    <row r="763" spans="1:8" x14ac:dyDescent="0.2">
      <c r="A763">
        <v>47872.3</v>
      </c>
      <c r="B763">
        <v>23861</v>
      </c>
      <c r="C763">
        <v>52.106400000000001</v>
      </c>
      <c r="D763">
        <v>48.572699999999998</v>
      </c>
      <c r="E763">
        <v>827.02</v>
      </c>
      <c r="F763">
        <v>594.30700000000002</v>
      </c>
      <c r="G763">
        <f t="shared" si="31"/>
        <v>0.87955249723227213</v>
      </c>
      <c r="H763">
        <f t="shared" si="32"/>
        <v>0.63670419332124584</v>
      </c>
    </row>
    <row r="764" spans="1:8" x14ac:dyDescent="0.2">
      <c r="A764">
        <v>48879.199999999997</v>
      </c>
      <c r="B764">
        <v>22842.1</v>
      </c>
      <c r="C764">
        <v>61.819299999999998</v>
      </c>
      <c r="D764">
        <v>65.492900000000006</v>
      </c>
      <c r="E764">
        <v>908.89599999999996</v>
      </c>
      <c r="F764">
        <v>693.89</v>
      </c>
      <c r="G764">
        <f t="shared" si="31"/>
        <v>0.74354148109997675</v>
      </c>
      <c r="H764">
        <f t="shared" si="32"/>
        <v>0.44712147745186703</v>
      </c>
    </row>
    <row r="765" spans="1:8" x14ac:dyDescent="0.2">
      <c r="A765">
        <v>11344.9</v>
      </c>
      <c r="B765">
        <v>26349.1</v>
      </c>
      <c r="C765">
        <v>183.858</v>
      </c>
      <c r="D765">
        <v>21.881499999999999</v>
      </c>
      <c r="E765">
        <v>1398.75</v>
      </c>
      <c r="F765">
        <v>585.51599999999996</v>
      </c>
      <c r="G765">
        <f t="shared" si="31"/>
        <v>7.2866845749835679E-2</v>
      </c>
      <c r="H765">
        <f t="shared" si="32"/>
        <v>0.7243675918977337</v>
      </c>
    </row>
    <row r="766" spans="1:8" x14ac:dyDescent="0.2">
      <c r="A766">
        <v>46031.4</v>
      </c>
      <c r="B766">
        <v>4110.71</v>
      </c>
      <c r="C766">
        <v>37.663499999999999</v>
      </c>
      <c r="D766">
        <v>115.075</v>
      </c>
      <c r="E766">
        <v>806.68</v>
      </c>
      <c r="F766">
        <v>1056.3</v>
      </c>
      <c r="G766">
        <f t="shared" si="31"/>
        <v>0.88891677440513106</v>
      </c>
      <c r="H766">
        <f t="shared" si="32"/>
        <v>3.472266421460149E-2</v>
      </c>
    </row>
    <row r="767" spans="1:8" x14ac:dyDescent="0.2">
      <c r="A767">
        <v>794.33</v>
      </c>
      <c r="B767">
        <v>19151.7</v>
      </c>
      <c r="C767">
        <v>78.219800000000006</v>
      </c>
      <c r="D767">
        <v>25.988399999999999</v>
      </c>
      <c r="E767">
        <v>569.88599999999997</v>
      </c>
      <c r="F767">
        <v>503.16899999999998</v>
      </c>
      <c r="G767">
        <f t="shared" si="31"/>
        <v>3.0735089786504858E-2</v>
      </c>
      <c r="H767">
        <f t="shared" si="32"/>
        <v>0.71293565922033586</v>
      </c>
    </row>
    <row r="768" spans="1:8" x14ac:dyDescent="0.2">
      <c r="A768">
        <v>13528.6</v>
      </c>
      <c r="B768">
        <v>20280.2</v>
      </c>
      <c r="C768">
        <v>146.15199999999999</v>
      </c>
      <c r="D768">
        <v>38.134900000000002</v>
      </c>
      <c r="E768">
        <v>1390.75</v>
      </c>
      <c r="F768">
        <v>516.10500000000002</v>
      </c>
      <c r="G768">
        <f t="shared" si="31"/>
        <v>8.7895009244233255E-2</v>
      </c>
      <c r="H768">
        <f t="shared" si="32"/>
        <v>0.71757427548769503</v>
      </c>
    </row>
    <row r="769" spans="1:8" x14ac:dyDescent="0.2">
      <c r="A769">
        <v>7745.5</v>
      </c>
      <c r="B769">
        <v>27079.3</v>
      </c>
      <c r="C769">
        <v>69.903899999999993</v>
      </c>
      <c r="D769">
        <v>27.378499999999999</v>
      </c>
      <c r="E769">
        <v>1307.19</v>
      </c>
      <c r="F769">
        <v>596.97500000000002</v>
      </c>
      <c r="G769">
        <f t="shared" si="31"/>
        <v>5.6961513701043923E-2</v>
      </c>
      <c r="H769">
        <f t="shared" si="32"/>
        <v>0.716136658986404</v>
      </c>
    </row>
    <row r="770" spans="1:8" x14ac:dyDescent="0.2">
      <c r="A770">
        <v>41836.6</v>
      </c>
      <c r="B770">
        <v>25919.5</v>
      </c>
      <c r="C770">
        <v>26.9848</v>
      </c>
      <c r="D770">
        <v>32.771900000000002</v>
      </c>
      <c r="E770">
        <v>765.16200000000003</v>
      </c>
      <c r="F770">
        <v>576.67899999999997</v>
      </c>
      <c r="G770">
        <f t="shared" si="31"/>
        <v>0.89796434493961619</v>
      </c>
      <c r="H770">
        <f t="shared" si="32"/>
        <v>0.73456309745118364</v>
      </c>
    </row>
    <row r="771" spans="1:8" x14ac:dyDescent="0.2">
      <c r="A771">
        <v>41700.699999999997</v>
      </c>
      <c r="B771">
        <v>22354.799999999999</v>
      </c>
      <c r="C771">
        <v>39.694400000000002</v>
      </c>
      <c r="D771">
        <v>33.402000000000001</v>
      </c>
      <c r="E771">
        <v>754.31</v>
      </c>
      <c r="F771">
        <v>544.70100000000002</v>
      </c>
      <c r="G771">
        <f t="shared" ref="G771:G834" si="33" xml:space="preserve"> 3.14159*4*A771/(E771*E771)</f>
        <v>0.92098617686620421</v>
      </c>
      <c r="H771">
        <f t="shared" ref="H771:H834" si="34" xml:space="preserve"> 3*3.14159*B771/(F771*F771)</f>
        <v>0.71010930607005862</v>
      </c>
    </row>
    <row r="772" spans="1:8" x14ac:dyDescent="0.2">
      <c r="A772">
        <v>39618.699999999997</v>
      </c>
      <c r="B772">
        <v>25198.5</v>
      </c>
      <c r="C772">
        <v>36.344499999999996</v>
      </c>
      <c r="D772">
        <v>26.910599999999999</v>
      </c>
      <c r="E772">
        <v>767.39300000000003</v>
      </c>
      <c r="F772">
        <v>581.81100000000004</v>
      </c>
      <c r="G772">
        <f t="shared" si="33"/>
        <v>0.84542298592209997</v>
      </c>
      <c r="H772">
        <f t="shared" si="34"/>
        <v>0.70158709786962281</v>
      </c>
    </row>
    <row r="773" spans="1:8" x14ac:dyDescent="0.2">
      <c r="A773">
        <v>41805.9</v>
      </c>
      <c r="B773">
        <v>4141.3999999999996</v>
      </c>
      <c r="C773">
        <v>48.732599999999998</v>
      </c>
      <c r="D773">
        <v>73.798400000000001</v>
      </c>
      <c r="E773">
        <v>832.51099999999997</v>
      </c>
      <c r="F773">
        <v>879.64400000000001</v>
      </c>
      <c r="G773">
        <f t="shared" si="33"/>
        <v>0.75799634839042529</v>
      </c>
      <c r="H773">
        <f t="shared" si="34"/>
        <v>5.0443365030737784E-2</v>
      </c>
    </row>
    <row r="774" spans="1:8" x14ac:dyDescent="0.2">
      <c r="A774">
        <v>30334.799999999999</v>
      </c>
      <c r="B774">
        <v>17713.599999999999</v>
      </c>
      <c r="C774">
        <v>44.431899999999999</v>
      </c>
      <c r="D774">
        <v>292.91500000000002</v>
      </c>
      <c r="E774">
        <v>673.77499999999998</v>
      </c>
      <c r="F774">
        <v>1129.96</v>
      </c>
      <c r="G774">
        <f t="shared" si="33"/>
        <v>0.83969360892959211</v>
      </c>
      <c r="H774">
        <f t="shared" si="34"/>
        <v>0.13075293737045462</v>
      </c>
    </row>
    <row r="775" spans="1:8" x14ac:dyDescent="0.2">
      <c r="A775">
        <v>40003.9</v>
      </c>
      <c r="B775">
        <v>3894.2</v>
      </c>
      <c r="C775">
        <v>33.148499999999999</v>
      </c>
      <c r="D775">
        <v>52.687399999999997</v>
      </c>
      <c r="E775">
        <v>714.87699999999995</v>
      </c>
      <c r="F775">
        <v>962.05899999999997</v>
      </c>
      <c r="G775">
        <f t="shared" si="33"/>
        <v>0.98366944406197099</v>
      </c>
      <c r="H775">
        <f t="shared" si="34"/>
        <v>3.9653871922060942E-2</v>
      </c>
    </row>
    <row r="776" spans="1:8" x14ac:dyDescent="0.2">
      <c r="A776">
        <v>21786.3</v>
      </c>
      <c r="B776">
        <v>32874.199999999997</v>
      </c>
      <c r="C776">
        <v>470.09899999999999</v>
      </c>
      <c r="D776">
        <v>35.2883</v>
      </c>
      <c r="E776">
        <v>1220.75</v>
      </c>
      <c r="F776">
        <v>722.90700000000004</v>
      </c>
      <c r="G776">
        <f t="shared" si="33"/>
        <v>0.18371283998411486</v>
      </c>
      <c r="H776">
        <f t="shared" si="34"/>
        <v>0.59287220926178819</v>
      </c>
    </row>
    <row r="777" spans="1:8" x14ac:dyDescent="0.2">
      <c r="A777">
        <v>2248.89</v>
      </c>
      <c r="B777">
        <v>27834.1</v>
      </c>
      <c r="C777">
        <v>91.430099999999996</v>
      </c>
      <c r="D777">
        <v>27.7637</v>
      </c>
      <c r="E777">
        <v>841.40700000000004</v>
      </c>
      <c r="F777">
        <v>600.34100000000001</v>
      </c>
      <c r="G777">
        <f t="shared" si="33"/>
        <v>3.9917696235429567E-2</v>
      </c>
      <c r="H777">
        <f t="shared" si="34"/>
        <v>0.72786684141224955</v>
      </c>
    </row>
    <row r="778" spans="1:8" x14ac:dyDescent="0.2">
      <c r="A778">
        <v>6757.3</v>
      </c>
      <c r="B778">
        <v>23578</v>
      </c>
      <c r="C778">
        <v>122.607</v>
      </c>
      <c r="D778">
        <v>30.290700000000001</v>
      </c>
      <c r="E778">
        <v>1237.1099999999999</v>
      </c>
      <c r="F778">
        <v>575.41899999999998</v>
      </c>
      <c r="G778">
        <f t="shared" si="33"/>
        <v>5.5483782771708713E-2</v>
      </c>
      <c r="H778">
        <f t="shared" si="34"/>
        <v>0.67113413460041726</v>
      </c>
    </row>
    <row r="779" spans="1:8" x14ac:dyDescent="0.2">
      <c r="A779">
        <v>35904.5</v>
      </c>
      <c r="B779">
        <v>23031</v>
      </c>
      <c r="C779">
        <v>32.243400000000001</v>
      </c>
      <c r="D779">
        <v>29.268899999999999</v>
      </c>
      <c r="E779">
        <v>696.577</v>
      </c>
      <c r="F779">
        <v>544.96400000000006</v>
      </c>
      <c r="G779">
        <f t="shared" si="33"/>
        <v>0.9298654668213201</v>
      </c>
      <c r="H779">
        <f t="shared" si="34"/>
        <v>0.73088311346232704</v>
      </c>
    </row>
    <row r="780" spans="1:8" x14ac:dyDescent="0.2">
      <c r="A780">
        <v>35671.5</v>
      </c>
      <c r="B780">
        <v>2874.86</v>
      </c>
      <c r="C780">
        <v>40.133400000000002</v>
      </c>
      <c r="D780">
        <v>152.74600000000001</v>
      </c>
      <c r="E780">
        <v>684.07299999999998</v>
      </c>
      <c r="F780">
        <v>1066.8699999999999</v>
      </c>
      <c r="G780">
        <f t="shared" si="33"/>
        <v>0.95791278648296363</v>
      </c>
      <c r="H780">
        <f t="shared" si="34"/>
        <v>2.3804795484420358E-2</v>
      </c>
    </row>
    <row r="781" spans="1:8" x14ac:dyDescent="0.2">
      <c r="A781">
        <v>30231.3</v>
      </c>
      <c r="B781">
        <v>20055.5</v>
      </c>
      <c r="C781">
        <v>42.334299999999999</v>
      </c>
      <c r="D781">
        <v>32.657800000000002</v>
      </c>
      <c r="E781">
        <v>672.596</v>
      </c>
      <c r="F781">
        <v>535.88900000000001</v>
      </c>
      <c r="G781">
        <f t="shared" si="33"/>
        <v>0.83976498030589686</v>
      </c>
      <c r="H781">
        <f t="shared" si="34"/>
        <v>0.65819498553094313</v>
      </c>
    </row>
    <row r="782" spans="1:8" x14ac:dyDescent="0.2">
      <c r="A782">
        <v>39781</v>
      </c>
      <c r="B782">
        <v>20587.099999999999</v>
      </c>
      <c r="C782">
        <v>22.683499999999999</v>
      </c>
      <c r="D782">
        <v>25.6648</v>
      </c>
      <c r="E782">
        <v>711.16399999999999</v>
      </c>
      <c r="F782">
        <v>512.92999999999995</v>
      </c>
      <c r="G782">
        <f t="shared" si="33"/>
        <v>0.98842942415063839</v>
      </c>
      <c r="H782">
        <f t="shared" si="34"/>
        <v>0.73747912787720593</v>
      </c>
    </row>
    <row r="783" spans="1:8" x14ac:dyDescent="0.2">
      <c r="A783">
        <v>24292.3</v>
      </c>
      <c r="B783">
        <v>34365.9</v>
      </c>
      <c r="C783">
        <v>331.392</v>
      </c>
      <c r="D783">
        <v>30.585999999999999</v>
      </c>
      <c r="E783">
        <v>1020.47</v>
      </c>
      <c r="F783">
        <v>710.69299999999998</v>
      </c>
      <c r="G783">
        <f t="shared" si="33"/>
        <v>0.29314173200724997</v>
      </c>
      <c r="H783">
        <f t="shared" si="34"/>
        <v>0.64126037827910187</v>
      </c>
    </row>
    <row r="784" spans="1:8" x14ac:dyDescent="0.2">
      <c r="A784">
        <v>2060.4699999999998</v>
      </c>
      <c r="B784">
        <v>8530.57</v>
      </c>
      <c r="C784">
        <v>90.103399999999993</v>
      </c>
      <c r="D784">
        <v>102.55500000000001</v>
      </c>
      <c r="E784">
        <v>786.01099999999997</v>
      </c>
      <c r="F784">
        <v>1175.6300000000001</v>
      </c>
      <c r="G784">
        <f t="shared" si="33"/>
        <v>4.1910085327411306E-2</v>
      </c>
      <c r="H784">
        <f t="shared" si="34"/>
        <v>5.8171128854330532E-2</v>
      </c>
    </row>
    <row r="785" spans="1:8" x14ac:dyDescent="0.2">
      <c r="A785">
        <v>5565.32</v>
      </c>
      <c r="B785">
        <v>3561.44</v>
      </c>
      <c r="C785">
        <v>190.33199999999999</v>
      </c>
      <c r="D785">
        <v>81.996499999999997</v>
      </c>
      <c r="E785">
        <v>1275.54</v>
      </c>
      <c r="F785">
        <v>986.09100000000001</v>
      </c>
      <c r="G785">
        <f t="shared" si="33"/>
        <v>4.2984459822994384E-2</v>
      </c>
      <c r="H785">
        <f t="shared" si="34"/>
        <v>3.451933357008008E-2</v>
      </c>
    </row>
    <row r="786" spans="1:8" x14ac:dyDescent="0.2">
      <c r="A786">
        <v>36153.1</v>
      </c>
      <c r="B786">
        <v>28226.2</v>
      </c>
      <c r="C786">
        <v>40.305799999999998</v>
      </c>
      <c r="D786">
        <v>19.486999999999998</v>
      </c>
      <c r="E786">
        <v>696.72400000000005</v>
      </c>
      <c r="F786">
        <v>603.47699999999998</v>
      </c>
      <c r="G786">
        <f t="shared" si="33"/>
        <v>0.93590872892477917</v>
      </c>
      <c r="H786">
        <f t="shared" si="34"/>
        <v>0.73046889865642228</v>
      </c>
    </row>
    <row r="787" spans="1:8" x14ac:dyDescent="0.2">
      <c r="A787">
        <v>36047.599999999999</v>
      </c>
      <c r="B787">
        <v>27178.2</v>
      </c>
      <c r="C787">
        <v>35.464599999999997</v>
      </c>
      <c r="D787">
        <v>21.401399999999999</v>
      </c>
      <c r="E787">
        <v>688.44500000000005</v>
      </c>
      <c r="F787">
        <v>590.19799999999998</v>
      </c>
      <c r="G787">
        <f t="shared" si="33"/>
        <v>0.95575670237349919</v>
      </c>
      <c r="H787">
        <f t="shared" si="34"/>
        <v>0.73535319524468934</v>
      </c>
    </row>
    <row r="788" spans="1:8" x14ac:dyDescent="0.2">
      <c r="A788">
        <v>43763.9</v>
      </c>
      <c r="B788">
        <v>26477.599999999999</v>
      </c>
      <c r="C788">
        <v>73.281000000000006</v>
      </c>
      <c r="D788">
        <v>24.825600000000001</v>
      </c>
      <c r="E788">
        <v>1016.19</v>
      </c>
      <c r="F788">
        <v>589.28200000000004</v>
      </c>
      <c r="G788">
        <f t="shared" si="33"/>
        <v>0.53256875138989879</v>
      </c>
      <c r="H788">
        <f t="shared" si="34"/>
        <v>0.71862616637795507</v>
      </c>
    </row>
    <row r="789" spans="1:8" x14ac:dyDescent="0.2">
      <c r="A789">
        <v>23633.5</v>
      </c>
      <c r="B789">
        <v>22834.7</v>
      </c>
      <c r="C789">
        <v>25.262499999999999</v>
      </c>
      <c r="D789">
        <v>29.562999999999999</v>
      </c>
      <c r="E789">
        <v>549.16999999999996</v>
      </c>
      <c r="F789">
        <v>542.46600000000001</v>
      </c>
      <c r="G789">
        <f t="shared" si="33"/>
        <v>0.98474533275287168</v>
      </c>
      <c r="H789">
        <f t="shared" si="34"/>
        <v>0.73134285769190388</v>
      </c>
    </row>
    <row r="790" spans="1:8" x14ac:dyDescent="0.2">
      <c r="A790">
        <v>33175.1</v>
      </c>
      <c r="B790">
        <v>26661.7</v>
      </c>
      <c r="C790">
        <v>37.177700000000002</v>
      </c>
      <c r="D790">
        <v>27.260400000000001</v>
      </c>
      <c r="E790">
        <v>662.10900000000004</v>
      </c>
      <c r="F790">
        <v>588.86400000000003</v>
      </c>
      <c r="G790">
        <f t="shared" si="33"/>
        <v>0.95096110713322701</v>
      </c>
      <c r="H790">
        <f t="shared" si="34"/>
        <v>0.72465048731883308</v>
      </c>
    </row>
    <row r="791" spans="1:8" x14ac:dyDescent="0.2">
      <c r="A791">
        <v>29738.3</v>
      </c>
      <c r="B791">
        <v>23835.5</v>
      </c>
      <c r="C791">
        <v>31.668800000000001</v>
      </c>
      <c r="D791">
        <v>34.214100000000002</v>
      </c>
      <c r="E791">
        <v>618.37800000000004</v>
      </c>
      <c r="F791">
        <v>566.44100000000003</v>
      </c>
      <c r="G791">
        <f t="shared" si="33"/>
        <v>0.97727676822210341</v>
      </c>
      <c r="H791">
        <f t="shared" si="34"/>
        <v>0.70014124991315252</v>
      </c>
    </row>
    <row r="792" spans="1:8" x14ac:dyDescent="0.2">
      <c r="A792">
        <v>30997.200000000001</v>
      </c>
      <c r="B792">
        <v>18283.8</v>
      </c>
      <c r="C792">
        <v>29.417999999999999</v>
      </c>
      <c r="D792">
        <v>37.148099999999999</v>
      </c>
      <c r="E792">
        <v>631.11599999999999</v>
      </c>
      <c r="F792">
        <v>497.63</v>
      </c>
      <c r="G792">
        <f t="shared" si="33"/>
        <v>0.97794308831907839</v>
      </c>
      <c r="H792">
        <f t="shared" si="34"/>
        <v>0.69586359136531772</v>
      </c>
    </row>
    <row r="793" spans="1:8" x14ac:dyDescent="0.2">
      <c r="A793">
        <v>25556.1</v>
      </c>
      <c r="B793">
        <v>25106.799999999999</v>
      </c>
      <c r="C793">
        <v>35.862699999999997</v>
      </c>
      <c r="D793">
        <v>24.3611</v>
      </c>
      <c r="E793">
        <v>573.673</v>
      </c>
      <c r="F793">
        <v>576.48400000000004</v>
      </c>
      <c r="G793">
        <f t="shared" si="33"/>
        <v>0.9758324492507221</v>
      </c>
      <c r="H793">
        <f t="shared" si="34"/>
        <v>0.7120124821179783</v>
      </c>
    </row>
    <row r="794" spans="1:8" x14ac:dyDescent="0.2">
      <c r="A794">
        <v>28239.4</v>
      </c>
      <c r="B794">
        <v>22134.400000000001</v>
      </c>
      <c r="C794">
        <v>32.045200000000001</v>
      </c>
      <c r="D794">
        <v>38.4788</v>
      </c>
      <c r="E794">
        <v>656.75900000000001</v>
      </c>
      <c r="F794">
        <v>559.33600000000001</v>
      </c>
      <c r="G794">
        <f t="shared" si="33"/>
        <v>0.82272159402100342</v>
      </c>
      <c r="H794">
        <f t="shared" si="34"/>
        <v>0.6667959755466073</v>
      </c>
    </row>
    <row r="795" spans="1:8" x14ac:dyDescent="0.2">
      <c r="A795">
        <v>27826</v>
      </c>
      <c r="B795">
        <v>23897.3</v>
      </c>
      <c r="C795">
        <v>28.474399999999999</v>
      </c>
      <c r="D795">
        <v>26.843399999999999</v>
      </c>
      <c r="E795">
        <v>599.12</v>
      </c>
      <c r="F795">
        <v>558.13</v>
      </c>
      <c r="G795">
        <f t="shared" si="33"/>
        <v>0.97416527081219995</v>
      </c>
      <c r="H795">
        <f t="shared" si="34"/>
        <v>0.72301758877141786</v>
      </c>
    </row>
    <row r="796" spans="1:8" x14ac:dyDescent="0.2">
      <c r="A796">
        <v>44741.5</v>
      </c>
      <c r="B796">
        <v>858.68200000000002</v>
      </c>
      <c r="C796">
        <v>40.369500000000002</v>
      </c>
      <c r="D796">
        <v>35.125100000000003</v>
      </c>
      <c r="E796">
        <v>779.21799999999996</v>
      </c>
      <c r="F796">
        <v>108.078</v>
      </c>
      <c r="G796">
        <f t="shared" si="33"/>
        <v>0.92598101979956737</v>
      </c>
      <c r="H796">
        <f t="shared" si="34"/>
        <v>0.69283292941954699</v>
      </c>
    </row>
    <row r="797" spans="1:8" x14ac:dyDescent="0.2">
      <c r="A797">
        <v>37918.800000000003</v>
      </c>
      <c r="B797">
        <v>17277.5</v>
      </c>
      <c r="C797">
        <v>26.104800000000001</v>
      </c>
      <c r="D797">
        <v>28.951899999999998</v>
      </c>
      <c r="E797">
        <v>701.28399999999999</v>
      </c>
      <c r="F797">
        <v>475.94299999999998</v>
      </c>
      <c r="G797">
        <f t="shared" si="33"/>
        <v>0.96889389902524947</v>
      </c>
      <c r="H797">
        <f t="shared" si="34"/>
        <v>0.71885578935982342</v>
      </c>
    </row>
    <row r="798" spans="1:8" x14ac:dyDescent="0.2">
      <c r="A798">
        <v>22346.5</v>
      </c>
      <c r="B798">
        <v>31739</v>
      </c>
      <c r="C798">
        <v>26.031700000000001</v>
      </c>
      <c r="D798">
        <v>29.162500000000001</v>
      </c>
      <c r="E798">
        <v>538.173</v>
      </c>
      <c r="F798">
        <v>637.86699999999996</v>
      </c>
      <c r="G798">
        <f t="shared" si="33"/>
        <v>0.96956113395351651</v>
      </c>
      <c r="H798">
        <f t="shared" si="34"/>
        <v>0.73519700779006236</v>
      </c>
    </row>
    <row r="799" spans="1:8" x14ac:dyDescent="0.2">
      <c r="A799">
        <v>38366.300000000003</v>
      </c>
      <c r="B799">
        <v>2432.84</v>
      </c>
      <c r="C799">
        <v>30.128</v>
      </c>
      <c r="D799">
        <v>58.871400000000001</v>
      </c>
      <c r="E799">
        <v>706.12699999999995</v>
      </c>
      <c r="F799">
        <v>865.11699999999996</v>
      </c>
      <c r="G799">
        <f t="shared" si="33"/>
        <v>0.96692720593647696</v>
      </c>
      <c r="H799">
        <f t="shared" si="34"/>
        <v>3.0636180237467957E-2</v>
      </c>
    </row>
    <row r="800" spans="1:8" x14ac:dyDescent="0.2">
      <c r="A800">
        <v>23918.6</v>
      </c>
      <c r="B800">
        <v>20049.599999999999</v>
      </c>
      <c r="C800">
        <v>21.7849</v>
      </c>
      <c r="D800">
        <v>24.0566</v>
      </c>
      <c r="E800">
        <v>552.38599999999997</v>
      </c>
      <c r="F800">
        <v>522.48299999999995</v>
      </c>
      <c r="G800">
        <f t="shared" si="33"/>
        <v>0.9850537465316177</v>
      </c>
      <c r="H800">
        <f t="shared" si="34"/>
        <v>0.69220087576937162</v>
      </c>
    </row>
    <row r="801" spans="1:8" x14ac:dyDescent="0.2">
      <c r="A801">
        <v>33537.699999999997</v>
      </c>
      <c r="B801">
        <v>23857.5</v>
      </c>
      <c r="C801">
        <v>54.026000000000003</v>
      </c>
      <c r="D801">
        <v>25.663799999999998</v>
      </c>
      <c r="E801">
        <v>676.774</v>
      </c>
      <c r="F801">
        <v>556.26</v>
      </c>
      <c r="G801">
        <f t="shared" si="33"/>
        <v>0.92014324270907055</v>
      </c>
      <c r="H801">
        <f t="shared" si="34"/>
        <v>0.72667468352857512</v>
      </c>
    </row>
    <row r="802" spans="1:8" x14ac:dyDescent="0.2">
      <c r="A802">
        <v>29902.5</v>
      </c>
      <c r="B802">
        <v>17707.900000000001</v>
      </c>
      <c r="C802">
        <v>26.979500000000002</v>
      </c>
      <c r="D802">
        <v>65.240499999999997</v>
      </c>
      <c r="E802">
        <v>618.69299999999998</v>
      </c>
      <c r="F802">
        <v>635.97900000000004</v>
      </c>
      <c r="G802">
        <f t="shared" si="33"/>
        <v>0.98167242409820687</v>
      </c>
      <c r="H802">
        <f t="shared" si="34"/>
        <v>0.4126218960314082</v>
      </c>
    </row>
    <row r="803" spans="1:8" x14ac:dyDescent="0.2">
      <c r="A803">
        <v>31197.3</v>
      </c>
      <c r="B803">
        <v>19328.7</v>
      </c>
      <c r="C803">
        <v>29.139299999999999</v>
      </c>
      <c r="D803">
        <v>27.448</v>
      </c>
      <c r="E803">
        <v>633.61099999999999</v>
      </c>
      <c r="F803">
        <v>501.26299999999998</v>
      </c>
      <c r="G803">
        <f t="shared" si="33"/>
        <v>0.97651988139142376</v>
      </c>
      <c r="H803">
        <f t="shared" si="34"/>
        <v>0.72500684697131257</v>
      </c>
    </row>
    <row r="804" spans="1:8" x14ac:dyDescent="0.2">
      <c r="A804">
        <v>25739.5</v>
      </c>
      <c r="B804">
        <v>21261.4</v>
      </c>
      <c r="C804">
        <v>35.418599999999998</v>
      </c>
      <c r="D804">
        <v>27.7118</v>
      </c>
      <c r="E804">
        <v>577.298</v>
      </c>
      <c r="F804">
        <v>549.71400000000006</v>
      </c>
      <c r="G804">
        <f t="shared" si="33"/>
        <v>0.97053119169664726</v>
      </c>
      <c r="H804">
        <f t="shared" si="34"/>
        <v>0.66311526181550806</v>
      </c>
    </row>
    <row r="805" spans="1:8" x14ac:dyDescent="0.2">
      <c r="A805">
        <v>43466.8</v>
      </c>
      <c r="B805">
        <v>3092.58</v>
      </c>
      <c r="C805">
        <v>87.9358</v>
      </c>
      <c r="D805">
        <v>122.4</v>
      </c>
      <c r="E805">
        <v>1127.94</v>
      </c>
      <c r="F805">
        <v>974.81100000000004</v>
      </c>
      <c r="G805">
        <f t="shared" si="33"/>
        <v>0.42933388814815165</v>
      </c>
      <c r="H805">
        <f t="shared" si="34"/>
        <v>3.0672619071350018E-2</v>
      </c>
    </row>
    <row r="806" spans="1:8" x14ac:dyDescent="0.2">
      <c r="A806">
        <v>28548.6</v>
      </c>
      <c r="B806">
        <v>21190.3</v>
      </c>
      <c r="C806">
        <v>37.9499</v>
      </c>
      <c r="D806">
        <v>60.902999999999999</v>
      </c>
      <c r="E806">
        <v>672.50599999999997</v>
      </c>
      <c r="F806">
        <v>758.73199999999997</v>
      </c>
      <c r="G806">
        <f t="shared" si="33"/>
        <v>0.79323521490141757</v>
      </c>
      <c r="H806">
        <f t="shared" si="34"/>
        <v>0.3469213786892516</v>
      </c>
    </row>
    <row r="807" spans="1:8" x14ac:dyDescent="0.2">
      <c r="A807">
        <v>28067.200000000001</v>
      </c>
      <c r="B807">
        <v>27359.4</v>
      </c>
      <c r="C807">
        <v>30.527000000000001</v>
      </c>
      <c r="D807">
        <v>25.794499999999999</v>
      </c>
      <c r="E807">
        <v>603.16</v>
      </c>
      <c r="F807">
        <v>598.79700000000003</v>
      </c>
      <c r="G807">
        <f t="shared" si="33"/>
        <v>0.96949041883404186</v>
      </c>
      <c r="H807">
        <f t="shared" si="34"/>
        <v>0.71914770334868194</v>
      </c>
    </row>
    <row r="808" spans="1:8" x14ac:dyDescent="0.2">
      <c r="A808">
        <v>45377.9</v>
      </c>
      <c r="B808">
        <v>26516.2</v>
      </c>
      <c r="C808">
        <v>49.9925</v>
      </c>
      <c r="D808">
        <v>21.602</v>
      </c>
      <c r="E808">
        <v>790.77700000000004</v>
      </c>
      <c r="F808">
        <v>586.25300000000004</v>
      </c>
      <c r="G808">
        <f t="shared" si="33"/>
        <v>0.91189709552473386</v>
      </c>
      <c r="H808">
        <f t="shared" si="34"/>
        <v>0.72712971070674781</v>
      </c>
    </row>
    <row r="809" spans="1:8" x14ac:dyDescent="0.2">
      <c r="A809">
        <v>44794.8</v>
      </c>
      <c r="B809">
        <v>24784.799999999999</v>
      </c>
      <c r="C809">
        <v>47.450099999999999</v>
      </c>
      <c r="D809">
        <v>25.14</v>
      </c>
      <c r="E809">
        <v>810.01300000000003</v>
      </c>
      <c r="F809">
        <v>573.029</v>
      </c>
      <c r="G809">
        <f t="shared" si="33"/>
        <v>0.85793250224738915</v>
      </c>
      <c r="H809">
        <f t="shared" si="34"/>
        <v>0.71138217100121071</v>
      </c>
    </row>
    <row r="810" spans="1:8" x14ac:dyDescent="0.2">
      <c r="A810">
        <v>11221.7</v>
      </c>
      <c r="B810">
        <v>28313.200000000001</v>
      </c>
      <c r="C810">
        <v>178.608</v>
      </c>
      <c r="D810">
        <v>45.3825</v>
      </c>
      <c r="E810">
        <v>1522.83</v>
      </c>
      <c r="F810">
        <v>666.875</v>
      </c>
      <c r="G810">
        <f t="shared" si="33"/>
        <v>6.0808641834417657E-2</v>
      </c>
      <c r="H810">
        <f t="shared" si="34"/>
        <v>0.60002706990391641</v>
      </c>
    </row>
    <row r="811" spans="1:8" x14ac:dyDescent="0.2">
      <c r="A811">
        <v>39909.800000000003</v>
      </c>
      <c r="B811">
        <v>22762.7</v>
      </c>
      <c r="C811">
        <v>26.876899999999999</v>
      </c>
      <c r="D811">
        <v>37.053800000000003</v>
      </c>
      <c r="E811">
        <v>718.34500000000003</v>
      </c>
      <c r="F811">
        <v>561.49400000000003</v>
      </c>
      <c r="G811">
        <f t="shared" si="33"/>
        <v>0.97190295405403715</v>
      </c>
      <c r="H811">
        <f t="shared" si="34"/>
        <v>0.68046265532510919</v>
      </c>
    </row>
    <row r="812" spans="1:8" x14ac:dyDescent="0.2">
      <c r="A812">
        <v>36459</v>
      </c>
      <c r="B812">
        <v>41587.800000000003</v>
      </c>
      <c r="C812">
        <v>44.285800000000002</v>
      </c>
      <c r="D812">
        <v>198.47399999999999</v>
      </c>
      <c r="E812">
        <v>721.16600000000005</v>
      </c>
      <c r="F812">
        <v>1326.12</v>
      </c>
      <c r="G812">
        <f t="shared" si="33"/>
        <v>0.88093479321876955</v>
      </c>
      <c r="H812">
        <f t="shared" si="34"/>
        <v>0.22287997861094344</v>
      </c>
    </row>
    <row r="813" spans="1:8" x14ac:dyDescent="0.2">
      <c r="A813">
        <v>26703.599999999999</v>
      </c>
      <c r="B813">
        <v>26156.799999999999</v>
      </c>
      <c r="C813">
        <v>29.247699999999998</v>
      </c>
      <c r="D813">
        <v>33.791200000000003</v>
      </c>
      <c r="E813">
        <v>590.26499999999999</v>
      </c>
      <c r="F813">
        <v>593.10500000000002</v>
      </c>
      <c r="G813">
        <f t="shared" si="33"/>
        <v>0.96313074483261774</v>
      </c>
      <c r="H813">
        <f t="shared" si="34"/>
        <v>0.70079694799581305</v>
      </c>
    </row>
    <row r="814" spans="1:8" x14ac:dyDescent="0.2">
      <c r="A814">
        <v>20659.900000000001</v>
      </c>
      <c r="B814">
        <v>25692.400000000001</v>
      </c>
      <c r="C814">
        <v>234.40199999999999</v>
      </c>
      <c r="D814">
        <v>27.886299999999999</v>
      </c>
      <c r="E814">
        <v>1095.53</v>
      </c>
      <c r="F814">
        <v>587.53599999999994</v>
      </c>
      <c r="G814">
        <f t="shared" si="33"/>
        <v>0.21631625855962372</v>
      </c>
      <c r="H814">
        <f t="shared" si="34"/>
        <v>0.7014657501860897</v>
      </c>
    </row>
    <row r="815" spans="1:8" x14ac:dyDescent="0.2">
      <c r="A815">
        <v>45389.5</v>
      </c>
      <c r="B815">
        <v>27910.7</v>
      </c>
      <c r="C815">
        <v>40.2958</v>
      </c>
      <c r="D815">
        <v>29.3935</v>
      </c>
      <c r="E815">
        <v>791.61699999999996</v>
      </c>
      <c r="F815">
        <v>613.08799999999997</v>
      </c>
      <c r="G815">
        <f t="shared" si="33"/>
        <v>0.91019547401564271</v>
      </c>
      <c r="H815">
        <f t="shared" si="34"/>
        <v>0.69983532113172986</v>
      </c>
    </row>
    <row r="816" spans="1:8" x14ac:dyDescent="0.2">
      <c r="A816">
        <v>38747</v>
      </c>
      <c r="B816">
        <v>21260</v>
      </c>
      <c r="C816">
        <v>64.1524</v>
      </c>
      <c r="D816">
        <v>26.7864</v>
      </c>
      <c r="E816">
        <v>803.49099999999999</v>
      </c>
      <c r="F816">
        <v>520.09799999999996</v>
      </c>
      <c r="G816">
        <f t="shared" si="33"/>
        <v>0.75419829600331323</v>
      </c>
      <c r="H816">
        <f t="shared" si="34"/>
        <v>0.74073634333526417</v>
      </c>
    </row>
    <row r="817" spans="1:8" x14ac:dyDescent="0.2">
      <c r="A817">
        <v>39509.800000000003</v>
      </c>
      <c r="B817">
        <v>25205.7</v>
      </c>
      <c r="C817">
        <v>30.7042</v>
      </c>
      <c r="D817">
        <v>25.578199999999999</v>
      </c>
      <c r="E817">
        <v>715.08</v>
      </c>
      <c r="F817">
        <v>576.38800000000003</v>
      </c>
      <c r="G817">
        <f t="shared" si="33"/>
        <v>0.97096833162827401</v>
      </c>
      <c r="H817">
        <f t="shared" si="34"/>
        <v>0.71505535349158633</v>
      </c>
    </row>
    <row r="818" spans="1:8" x14ac:dyDescent="0.2">
      <c r="A818">
        <v>29811.5</v>
      </c>
      <c r="B818">
        <v>5473.26</v>
      </c>
      <c r="C818">
        <v>40.794499999999999</v>
      </c>
      <c r="D818">
        <v>71.897099999999995</v>
      </c>
      <c r="E818">
        <v>700.92600000000004</v>
      </c>
      <c r="F818">
        <v>897.29600000000005</v>
      </c>
      <c r="G818">
        <f t="shared" si="33"/>
        <v>0.76251604388062422</v>
      </c>
      <c r="H818">
        <f t="shared" si="34"/>
        <v>6.4068620984073316E-2</v>
      </c>
    </row>
    <row r="819" spans="1:8" x14ac:dyDescent="0.2">
      <c r="A819">
        <v>32478.2</v>
      </c>
      <c r="B819">
        <v>27776.6</v>
      </c>
      <c r="C819">
        <v>33.958100000000002</v>
      </c>
      <c r="D819">
        <v>27.608000000000001</v>
      </c>
      <c r="E819">
        <v>647.25</v>
      </c>
      <c r="F819">
        <v>595.39300000000003</v>
      </c>
      <c r="G819">
        <f t="shared" si="33"/>
        <v>0.97422065001691049</v>
      </c>
      <c r="H819">
        <f t="shared" si="34"/>
        <v>0.73848622123425445</v>
      </c>
    </row>
    <row r="820" spans="1:8" x14ac:dyDescent="0.2">
      <c r="A820">
        <v>19382.5</v>
      </c>
      <c r="B820">
        <v>32518.400000000001</v>
      </c>
      <c r="C820">
        <v>199.87899999999999</v>
      </c>
      <c r="D820">
        <v>22.8904</v>
      </c>
      <c r="E820">
        <v>885.60400000000004</v>
      </c>
      <c r="F820">
        <v>645.04600000000005</v>
      </c>
      <c r="G820">
        <f t="shared" si="33"/>
        <v>0.31055616205102959</v>
      </c>
      <c r="H820">
        <f t="shared" si="34"/>
        <v>0.7365776832874833</v>
      </c>
    </row>
    <row r="821" spans="1:8" x14ac:dyDescent="0.2">
      <c r="A821">
        <v>26907.1</v>
      </c>
      <c r="B821">
        <v>27000</v>
      </c>
      <c r="C821">
        <v>40.890900000000002</v>
      </c>
      <c r="D821">
        <v>34.619399999999999</v>
      </c>
      <c r="E821">
        <v>591.93399999999997</v>
      </c>
      <c r="F821">
        <v>601</v>
      </c>
      <c r="G821">
        <f t="shared" si="33"/>
        <v>0.96500556504322976</v>
      </c>
      <c r="H821">
        <f t="shared" si="34"/>
        <v>0.70450743491850787</v>
      </c>
    </row>
    <row r="822" spans="1:8" x14ac:dyDescent="0.2">
      <c r="A822">
        <v>29185.4</v>
      </c>
      <c r="B822">
        <v>24375.3</v>
      </c>
      <c r="C822">
        <v>32.446800000000003</v>
      </c>
      <c r="D822">
        <v>32.991100000000003</v>
      </c>
      <c r="E822">
        <v>615.25900000000001</v>
      </c>
      <c r="F822">
        <v>579.94600000000003</v>
      </c>
      <c r="G822">
        <f t="shared" si="33"/>
        <v>0.96885591836146134</v>
      </c>
      <c r="H822">
        <f t="shared" si="34"/>
        <v>0.68303917884488874</v>
      </c>
    </row>
    <row r="823" spans="1:8" x14ac:dyDescent="0.2">
      <c r="A823">
        <v>3775.66</v>
      </c>
      <c r="B823">
        <v>24338</v>
      </c>
      <c r="C823">
        <v>133.08600000000001</v>
      </c>
      <c r="D823">
        <v>30.923200000000001</v>
      </c>
      <c r="E823">
        <v>929.65700000000004</v>
      </c>
      <c r="F823">
        <v>569.67200000000003</v>
      </c>
      <c r="G823">
        <f t="shared" si="33"/>
        <v>5.4898046241693865E-2</v>
      </c>
      <c r="H823">
        <f t="shared" si="34"/>
        <v>0.70681523105320254</v>
      </c>
    </row>
    <row r="824" spans="1:8" x14ac:dyDescent="0.2">
      <c r="A824">
        <v>25099.9</v>
      </c>
      <c r="B824">
        <v>23609.3</v>
      </c>
      <c r="C824">
        <v>33.507399999999997</v>
      </c>
      <c r="D824">
        <v>26.3718</v>
      </c>
      <c r="E824">
        <v>575.37099999999998</v>
      </c>
      <c r="F824">
        <v>560.024</v>
      </c>
      <c r="G824">
        <f t="shared" si="33"/>
        <v>0.95276446507530244</v>
      </c>
      <c r="H824">
        <f t="shared" si="34"/>
        <v>0.70948071145030378</v>
      </c>
    </row>
    <row r="825" spans="1:8" x14ac:dyDescent="0.2">
      <c r="A825">
        <v>28803.1</v>
      </c>
      <c r="B825">
        <v>30918</v>
      </c>
      <c r="C825">
        <v>46.1541</v>
      </c>
      <c r="D825">
        <v>76.436899999999994</v>
      </c>
      <c r="E825">
        <v>657.71400000000006</v>
      </c>
      <c r="F825">
        <v>1130.4000000000001</v>
      </c>
      <c r="G825">
        <f t="shared" si="33"/>
        <v>0.83670922420224436</v>
      </c>
      <c r="H825">
        <f t="shared" si="34"/>
        <v>0.22804358287579837</v>
      </c>
    </row>
    <row r="826" spans="1:8" x14ac:dyDescent="0.2">
      <c r="A826">
        <v>7761.37</v>
      </c>
      <c r="B826">
        <v>24213.5</v>
      </c>
      <c r="C826">
        <v>185.595</v>
      </c>
      <c r="D826">
        <v>23.9633</v>
      </c>
      <c r="E826">
        <v>1098.24</v>
      </c>
      <c r="F826">
        <v>556.79700000000003</v>
      </c>
      <c r="G826">
        <f t="shared" si="33"/>
        <v>8.0863655457746486E-2</v>
      </c>
      <c r="H826">
        <f t="shared" si="34"/>
        <v>0.73609616895155805</v>
      </c>
    </row>
    <row r="827" spans="1:8" x14ac:dyDescent="0.2">
      <c r="A827">
        <v>30497.3</v>
      </c>
      <c r="B827">
        <v>30279.200000000001</v>
      </c>
      <c r="C827">
        <v>38.321199999999997</v>
      </c>
      <c r="D827">
        <v>28.373100000000001</v>
      </c>
      <c r="E827">
        <v>628.63199999999995</v>
      </c>
      <c r="F827">
        <v>637.83100000000002</v>
      </c>
      <c r="G827">
        <f t="shared" si="33"/>
        <v>0.96979048729136175</v>
      </c>
      <c r="H827">
        <f t="shared" si="34"/>
        <v>0.70146161529988027</v>
      </c>
    </row>
    <row r="828" spans="1:8" x14ac:dyDescent="0.2">
      <c r="A828">
        <v>36234.800000000003</v>
      </c>
      <c r="B828">
        <v>3398.02</v>
      </c>
      <c r="C828">
        <v>32.867699999999999</v>
      </c>
      <c r="D828">
        <v>122.124</v>
      </c>
      <c r="E828">
        <v>689.75</v>
      </c>
      <c r="F828">
        <v>983.22900000000004</v>
      </c>
      <c r="G828">
        <f t="shared" si="33"/>
        <v>0.95708816830088916</v>
      </c>
      <c r="H828">
        <f t="shared" si="34"/>
        <v>3.3127398531457616E-2</v>
      </c>
    </row>
    <row r="829" spans="1:8" x14ac:dyDescent="0.2">
      <c r="A829">
        <v>22353.8</v>
      </c>
      <c r="B829">
        <v>26222.2</v>
      </c>
      <c r="C829">
        <v>34.311799999999998</v>
      </c>
      <c r="D829">
        <v>30.612300000000001</v>
      </c>
      <c r="E829">
        <v>538.69899999999996</v>
      </c>
      <c r="F829">
        <v>591.76800000000003</v>
      </c>
      <c r="G829">
        <f t="shared" si="33"/>
        <v>0.96798475919574556</v>
      </c>
      <c r="H829">
        <f t="shared" si="34"/>
        <v>0.70572732359385226</v>
      </c>
    </row>
    <row r="830" spans="1:8" x14ac:dyDescent="0.2">
      <c r="A830">
        <v>21309.4</v>
      </c>
      <c r="B830">
        <v>2572.4899999999998</v>
      </c>
      <c r="C830">
        <v>172.14099999999999</v>
      </c>
      <c r="D830">
        <v>81.516599999999997</v>
      </c>
      <c r="E830">
        <v>841.40899999999999</v>
      </c>
      <c r="F830">
        <v>969.58100000000002</v>
      </c>
      <c r="G830">
        <f t="shared" si="33"/>
        <v>0.37823909233682562</v>
      </c>
      <c r="H830">
        <f t="shared" si="34"/>
        <v>2.5790292216454E-2</v>
      </c>
    </row>
    <row r="831" spans="1:8" x14ac:dyDescent="0.2">
      <c r="A831">
        <v>25437</v>
      </c>
      <c r="B831">
        <v>29839</v>
      </c>
      <c r="C831">
        <v>37.735100000000003</v>
      </c>
      <c r="D831">
        <v>32.063499999999998</v>
      </c>
      <c r="E831">
        <v>589.80899999999997</v>
      </c>
      <c r="F831">
        <v>643.08199999999999</v>
      </c>
      <c r="G831">
        <f t="shared" si="33"/>
        <v>0.91886687737903239</v>
      </c>
      <c r="H831">
        <f t="shared" si="34"/>
        <v>0.68002098900760677</v>
      </c>
    </row>
    <row r="832" spans="1:8" x14ac:dyDescent="0.2">
      <c r="A832">
        <v>36611.5</v>
      </c>
      <c r="B832">
        <v>6831.12</v>
      </c>
      <c r="C832">
        <v>33.434699999999999</v>
      </c>
      <c r="D832">
        <v>495.95100000000002</v>
      </c>
      <c r="E832">
        <v>707.06799999999998</v>
      </c>
      <c r="F832">
        <v>1212</v>
      </c>
      <c r="G832">
        <f t="shared" si="33"/>
        <v>0.92024751724120224</v>
      </c>
      <c r="H832">
        <f t="shared" si="34"/>
        <v>4.3828583555533769E-2</v>
      </c>
    </row>
    <row r="833" spans="1:8" x14ac:dyDescent="0.2">
      <c r="A833">
        <v>15564.3</v>
      </c>
      <c r="B833">
        <v>21258.2</v>
      </c>
      <c r="C833">
        <v>152.584</v>
      </c>
      <c r="D833">
        <v>27.183599999999998</v>
      </c>
      <c r="E833">
        <v>990.74400000000003</v>
      </c>
      <c r="F833">
        <v>536.03499999999997</v>
      </c>
      <c r="G833">
        <f t="shared" si="33"/>
        <v>0.19925819347153331</v>
      </c>
      <c r="H833">
        <f t="shared" si="34"/>
        <v>0.69728601368829024</v>
      </c>
    </row>
    <row r="834" spans="1:8" x14ac:dyDescent="0.2">
      <c r="A834">
        <v>34866.199999999997</v>
      </c>
      <c r="B834">
        <v>22444.5</v>
      </c>
      <c r="C834">
        <v>52.989800000000002</v>
      </c>
      <c r="D834">
        <v>24.442699999999999</v>
      </c>
      <c r="E834">
        <v>838.63699999999994</v>
      </c>
      <c r="F834">
        <v>562.46100000000001</v>
      </c>
      <c r="G834">
        <f t="shared" si="33"/>
        <v>0.62296848335087851</v>
      </c>
      <c r="H834">
        <f t="shared" si="34"/>
        <v>0.66864540781118587</v>
      </c>
    </row>
    <row r="835" spans="1:8" x14ac:dyDescent="0.2">
      <c r="A835">
        <v>24156.9</v>
      </c>
      <c r="B835">
        <v>23948.2</v>
      </c>
      <c r="C835">
        <v>29.330300000000001</v>
      </c>
      <c r="D835">
        <v>23.196899999999999</v>
      </c>
      <c r="E835">
        <v>564.01</v>
      </c>
      <c r="F835">
        <v>553.05399999999997</v>
      </c>
      <c r="G835">
        <f t="shared" ref="G835:G898" si="35" xml:space="preserve"> 3.14159*4*A835/(E835*E835)</f>
        <v>0.954282787204907</v>
      </c>
      <c r="H835">
        <f t="shared" ref="H835:H898" si="36" xml:space="preserve"> 3*3.14159*B835/(F835*F835)</f>
        <v>0.73791877708369058</v>
      </c>
    </row>
    <row r="836" spans="1:8" x14ac:dyDescent="0.2">
      <c r="A836">
        <v>25842.2</v>
      </c>
      <c r="B836">
        <v>24716.1</v>
      </c>
      <c r="C836">
        <v>29.319600000000001</v>
      </c>
      <c r="D836">
        <v>19.570599999999999</v>
      </c>
      <c r="E836">
        <v>601.86599999999999</v>
      </c>
      <c r="F836">
        <v>562.05700000000002</v>
      </c>
      <c r="G836">
        <f t="shared" si="35"/>
        <v>0.89647742954665133</v>
      </c>
      <c r="H836">
        <f t="shared" si="36"/>
        <v>0.73737767090285233</v>
      </c>
    </row>
    <row r="837" spans="1:8" x14ac:dyDescent="0.2">
      <c r="A837">
        <v>33164.400000000001</v>
      </c>
      <c r="B837">
        <v>24053.9</v>
      </c>
      <c r="C837">
        <v>23.173999999999999</v>
      </c>
      <c r="D837">
        <v>26.793099999999999</v>
      </c>
      <c r="E837">
        <v>651.98599999999999</v>
      </c>
      <c r="F837">
        <v>554.78800000000001</v>
      </c>
      <c r="G837">
        <f t="shared" si="35"/>
        <v>0.98040406029669358</v>
      </c>
      <c r="H837">
        <f t="shared" si="36"/>
        <v>0.73654984793350964</v>
      </c>
    </row>
    <row r="838" spans="1:8" x14ac:dyDescent="0.2">
      <c r="A838">
        <v>32325.1</v>
      </c>
      <c r="B838">
        <v>28889</v>
      </c>
      <c r="C838">
        <v>31.158899999999999</v>
      </c>
      <c r="D838">
        <v>39.307400000000001</v>
      </c>
      <c r="E838">
        <v>647.125</v>
      </c>
      <c r="F838">
        <v>617.48699999999997</v>
      </c>
      <c r="G838">
        <f t="shared" si="35"/>
        <v>0.97000286786912682</v>
      </c>
      <c r="H838">
        <f t="shared" si="36"/>
        <v>0.71408125354317142</v>
      </c>
    </row>
    <row r="839" spans="1:8" x14ac:dyDescent="0.2">
      <c r="A839">
        <v>35292.199999999997</v>
      </c>
      <c r="B839">
        <v>20815.2</v>
      </c>
      <c r="C839">
        <v>31.270700000000001</v>
      </c>
      <c r="D839">
        <v>24.175000000000001</v>
      </c>
      <c r="E839">
        <v>685.58699999999999</v>
      </c>
      <c r="F839">
        <v>535.09699999999998</v>
      </c>
      <c r="G839">
        <f t="shared" si="35"/>
        <v>0.94354600673906219</v>
      </c>
      <c r="H839">
        <f t="shared" si="36"/>
        <v>0.68515103234087615</v>
      </c>
    </row>
    <row r="840" spans="1:8" x14ac:dyDescent="0.2">
      <c r="A840">
        <v>39874.800000000003</v>
      </c>
      <c r="B840">
        <v>26342.3</v>
      </c>
      <c r="C840">
        <v>23.889800000000001</v>
      </c>
      <c r="D840">
        <v>32.231999999999999</v>
      </c>
      <c r="E840">
        <v>715.31200000000001</v>
      </c>
      <c r="F840">
        <v>598.65499999999997</v>
      </c>
      <c r="G840">
        <f t="shared" si="35"/>
        <v>0.97930279361210992</v>
      </c>
      <c r="H840">
        <f t="shared" si="36"/>
        <v>0.69274152892204388</v>
      </c>
    </row>
    <row r="841" spans="1:8" x14ac:dyDescent="0.2">
      <c r="A841">
        <v>9760.83</v>
      </c>
      <c r="B841">
        <v>22626.6</v>
      </c>
      <c r="C841">
        <v>230.97800000000001</v>
      </c>
      <c r="D841">
        <v>22.895399999999999</v>
      </c>
      <c r="E841">
        <v>1348.8</v>
      </c>
      <c r="F841">
        <v>542.41499999999996</v>
      </c>
      <c r="G841">
        <f t="shared" si="35"/>
        <v>6.7421922425179304E-2</v>
      </c>
      <c r="H841">
        <f t="shared" si="36"/>
        <v>0.72481417446098151</v>
      </c>
    </row>
    <row r="842" spans="1:8" x14ac:dyDescent="0.2">
      <c r="A842">
        <v>21505.599999999999</v>
      </c>
      <c r="B842">
        <v>29538.5</v>
      </c>
      <c r="C842">
        <v>35.4634</v>
      </c>
      <c r="D842">
        <v>22.4495</v>
      </c>
      <c r="E842">
        <v>530.27800000000002</v>
      </c>
      <c r="F842">
        <v>625.22900000000004</v>
      </c>
      <c r="G842">
        <f t="shared" si="35"/>
        <v>0.96106739053835477</v>
      </c>
      <c r="H842">
        <f t="shared" si="36"/>
        <v>0.7121655651975366</v>
      </c>
    </row>
    <row r="843" spans="1:8" x14ac:dyDescent="0.2">
      <c r="A843">
        <v>46194.400000000001</v>
      </c>
      <c r="B843">
        <v>27848.3</v>
      </c>
      <c r="C843">
        <v>64.797700000000006</v>
      </c>
      <c r="D843">
        <v>37.077100000000002</v>
      </c>
      <c r="E843">
        <v>858.50800000000004</v>
      </c>
      <c r="F843">
        <v>672.98800000000006</v>
      </c>
      <c r="G843">
        <f t="shared" si="35"/>
        <v>0.78760802913304839</v>
      </c>
      <c r="H843">
        <f t="shared" si="36"/>
        <v>0.57950182571891107</v>
      </c>
    </row>
    <row r="844" spans="1:8" x14ac:dyDescent="0.2">
      <c r="A844">
        <v>39017</v>
      </c>
      <c r="B844">
        <v>24823.9</v>
      </c>
      <c r="C844">
        <v>27.9878</v>
      </c>
      <c r="D844">
        <v>29.260999999999999</v>
      </c>
      <c r="E844">
        <v>713.80600000000004</v>
      </c>
      <c r="F844">
        <v>565.44100000000003</v>
      </c>
      <c r="G844">
        <f t="shared" si="35"/>
        <v>0.96228337450923485</v>
      </c>
      <c r="H844">
        <f t="shared" si="36"/>
        <v>0.73175581428604985</v>
      </c>
    </row>
    <row r="845" spans="1:8" x14ac:dyDescent="0.2">
      <c r="A845">
        <v>6321.54</v>
      </c>
      <c r="B845">
        <v>23973.200000000001</v>
      </c>
      <c r="C845">
        <v>71.825400000000002</v>
      </c>
      <c r="D845">
        <v>27.432099999999998</v>
      </c>
      <c r="E845">
        <v>1235.1300000000001</v>
      </c>
      <c r="F845">
        <v>618.00199999999995</v>
      </c>
      <c r="G845">
        <f t="shared" si="35"/>
        <v>5.207233430335375E-2</v>
      </c>
      <c r="H845">
        <f t="shared" si="36"/>
        <v>0.59158480159404525</v>
      </c>
    </row>
    <row r="846" spans="1:8" x14ac:dyDescent="0.2">
      <c r="A846">
        <v>34270.6</v>
      </c>
      <c r="B846">
        <v>27566.7</v>
      </c>
      <c r="C846">
        <v>47.323999999999998</v>
      </c>
      <c r="D846">
        <v>34.477800000000002</v>
      </c>
      <c r="E846">
        <v>693.36300000000006</v>
      </c>
      <c r="F846">
        <v>624.00699999999995</v>
      </c>
      <c r="G846">
        <f t="shared" si="35"/>
        <v>0.89579756979385772</v>
      </c>
      <c r="H846">
        <f t="shared" si="36"/>
        <v>0.66723161723089641</v>
      </c>
    </row>
    <row r="847" spans="1:8" x14ac:dyDescent="0.2">
      <c r="A847">
        <v>9068.4699999999993</v>
      </c>
      <c r="B847">
        <v>18240.099999999999</v>
      </c>
      <c r="C847">
        <v>132.256</v>
      </c>
      <c r="D847">
        <v>40.8979</v>
      </c>
      <c r="E847">
        <v>1324.38</v>
      </c>
      <c r="F847">
        <v>489.62099999999998</v>
      </c>
      <c r="G847">
        <f t="shared" si="35"/>
        <v>6.4970811384848906E-2</v>
      </c>
      <c r="H847">
        <f t="shared" si="36"/>
        <v>0.71709699474493427</v>
      </c>
    </row>
    <row r="848" spans="1:8" x14ac:dyDescent="0.2">
      <c r="A848">
        <v>9180.5400000000009</v>
      </c>
      <c r="B848">
        <v>24640.5</v>
      </c>
      <c r="C848">
        <v>160.75</v>
      </c>
      <c r="D848">
        <v>34.609900000000003</v>
      </c>
      <c r="E848">
        <v>1317.34</v>
      </c>
      <c r="F848">
        <v>567.22799999999995</v>
      </c>
      <c r="G848">
        <f t="shared" si="35"/>
        <v>6.6478615523392737E-2</v>
      </c>
      <c r="H848">
        <f t="shared" si="36"/>
        <v>0.72178018518064391</v>
      </c>
    </row>
    <row r="849" spans="1:8" x14ac:dyDescent="0.2">
      <c r="A849">
        <v>25757.3</v>
      </c>
      <c r="B849">
        <v>19937.599999999999</v>
      </c>
      <c r="C849">
        <v>32.608800000000002</v>
      </c>
      <c r="D849">
        <v>28.336500000000001</v>
      </c>
      <c r="E849">
        <v>600.40200000000004</v>
      </c>
      <c r="F849">
        <v>511.83</v>
      </c>
      <c r="G849">
        <f t="shared" si="35"/>
        <v>0.89789504099109885</v>
      </c>
      <c r="H849">
        <f t="shared" si="36"/>
        <v>0.71728568540404813</v>
      </c>
    </row>
    <row r="850" spans="1:8" x14ac:dyDescent="0.2">
      <c r="A850">
        <v>32260.2</v>
      </c>
      <c r="B850">
        <v>21570.2</v>
      </c>
      <c r="C850">
        <v>28.669899999999998</v>
      </c>
      <c r="D850">
        <v>28.602499999999999</v>
      </c>
      <c r="E850">
        <v>646.56700000000001</v>
      </c>
      <c r="F850">
        <v>531.25300000000004</v>
      </c>
      <c r="G850">
        <f t="shared" si="35"/>
        <v>0.9697269887415283</v>
      </c>
      <c r="H850">
        <f t="shared" si="36"/>
        <v>0.7203144737488415</v>
      </c>
    </row>
    <row r="851" spans="1:8" x14ac:dyDescent="0.2">
      <c r="A851">
        <v>34685.4</v>
      </c>
      <c r="B851">
        <v>24487.9</v>
      </c>
      <c r="C851">
        <v>42.780900000000003</v>
      </c>
      <c r="D851">
        <v>32.507599999999996</v>
      </c>
      <c r="E851">
        <v>842.399</v>
      </c>
      <c r="F851">
        <v>580.28200000000004</v>
      </c>
      <c r="G851">
        <f t="shared" si="35"/>
        <v>0.6142151426286252</v>
      </c>
      <c r="H851">
        <f t="shared" si="36"/>
        <v>0.68540000810522683</v>
      </c>
    </row>
    <row r="852" spans="1:8" x14ac:dyDescent="0.2">
      <c r="A852">
        <v>35252.199999999997</v>
      </c>
      <c r="B852">
        <v>5731.26</v>
      </c>
      <c r="C852">
        <v>25.487100000000002</v>
      </c>
      <c r="D852">
        <v>96.988600000000005</v>
      </c>
      <c r="E852">
        <v>682.928</v>
      </c>
      <c r="F852">
        <v>1134.23</v>
      </c>
      <c r="G852">
        <f t="shared" si="35"/>
        <v>0.94983000402718454</v>
      </c>
      <c r="H852">
        <f t="shared" si="36"/>
        <v>4.1987364109234288E-2</v>
      </c>
    </row>
    <row r="853" spans="1:8" x14ac:dyDescent="0.2">
      <c r="A853">
        <v>39797.800000000003</v>
      </c>
      <c r="B853">
        <v>43597</v>
      </c>
      <c r="C853">
        <v>29.116599999999998</v>
      </c>
      <c r="D853">
        <v>29.964300000000001</v>
      </c>
      <c r="E853">
        <v>715.221</v>
      </c>
      <c r="F853">
        <v>768.20600000000002</v>
      </c>
      <c r="G853">
        <f t="shared" si="35"/>
        <v>0.9776604513191951</v>
      </c>
      <c r="H853">
        <f t="shared" si="36"/>
        <v>0.69626085081329936</v>
      </c>
    </row>
    <row r="854" spans="1:8" x14ac:dyDescent="0.2">
      <c r="A854">
        <v>6606.98</v>
      </c>
      <c r="B854">
        <v>9986.3700000000008</v>
      </c>
      <c r="C854">
        <v>127.755</v>
      </c>
      <c r="D854">
        <v>174.09200000000001</v>
      </c>
      <c r="E854">
        <v>1176.54</v>
      </c>
      <c r="F854">
        <v>1593.73</v>
      </c>
      <c r="G854">
        <f t="shared" si="35"/>
        <v>5.9978982713051021E-2</v>
      </c>
      <c r="H854">
        <f t="shared" si="36"/>
        <v>3.7055179200714342E-2</v>
      </c>
    </row>
    <row r="855" spans="1:8" x14ac:dyDescent="0.2">
      <c r="A855">
        <v>16370.4</v>
      </c>
      <c r="B855">
        <v>32223.1</v>
      </c>
      <c r="C855">
        <v>326.08499999999998</v>
      </c>
      <c r="D855">
        <v>26.949300000000001</v>
      </c>
      <c r="E855">
        <v>1625.25</v>
      </c>
      <c r="F855">
        <v>654.45299999999997</v>
      </c>
      <c r="G855">
        <f t="shared" si="35"/>
        <v>7.7880447626139937E-2</v>
      </c>
      <c r="H855">
        <f t="shared" si="36"/>
        <v>0.70905700835904995</v>
      </c>
    </row>
    <row r="856" spans="1:8" x14ac:dyDescent="0.2">
      <c r="A856">
        <v>38934.6</v>
      </c>
      <c r="B856">
        <v>30062.7</v>
      </c>
      <c r="C856">
        <v>35.635899999999999</v>
      </c>
      <c r="D856">
        <v>41.938200000000002</v>
      </c>
      <c r="E856">
        <v>713.65700000000004</v>
      </c>
      <c r="F856">
        <v>644.99199999999996</v>
      </c>
      <c r="G856">
        <f t="shared" si="35"/>
        <v>0.96065213986958109</v>
      </c>
      <c r="H856">
        <f t="shared" si="36"/>
        <v>0.68106739174543474</v>
      </c>
    </row>
    <row r="857" spans="1:8" x14ac:dyDescent="0.2">
      <c r="A857">
        <v>37437.199999999997</v>
      </c>
      <c r="B857">
        <v>19756.900000000001</v>
      </c>
      <c r="C857">
        <v>39.139800000000001</v>
      </c>
      <c r="D857">
        <v>27.159800000000001</v>
      </c>
      <c r="E857">
        <v>700.40200000000004</v>
      </c>
      <c r="F857">
        <v>511.42099999999999</v>
      </c>
      <c r="G857">
        <f t="shared" si="35"/>
        <v>0.95899888375951925</v>
      </c>
      <c r="H857">
        <f t="shared" si="36"/>
        <v>0.7119220561483004</v>
      </c>
    </row>
    <row r="858" spans="1:8" x14ac:dyDescent="0.2">
      <c r="A858">
        <v>34205.300000000003</v>
      </c>
      <c r="B858">
        <v>3492.11</v>
      </c>
      <c r="C858">
        <v>44.806399999999996</v>
      </c>
      <c r="D858">
        <v>60.267499999999998</v>
      </c>
      <c r="E858">
        <v>695.88900000000001</v>
      </c>
      <c r="F858">
        <v>1003.22</v>
      </c>
      <c r="G858">
        <f t="shared" si="35"/>
        <v>0.8876115764376824</v>
      </c>
      <c r="H858">
        <f t="shared" si="36"/>
        <v>3.2701397503606892E-2</v>
      </c>
    </row>
    <row r="859" spans="1:8" x14ac:dyDescent="0.2">
      <c r="A859">
        <v>25666.3</v>
      </c>
      <c r="B859">
        <v>18861.099999999999</v>
      </c>
      <c r="C859">
        <v>24.017199999999999</v>
      </c>
      <c r="D859">
        <v>27.1084</v>
      </c>
      <c r="E859">
        <v>583.43200000000002</v>
      </c>
      <c r="F859">
        <v>496.17899999999997</v>
      </c>
      <c r="G859">
        <f t="shared" si="35"/>
        <v>0.94752847950647368</v>
      </c>
      <c r="H859">
        <f t="shared" si="36"/>
        <v>0.72203960386214894</v>
      </c>
    </row>
    <row r="860" spans="1:8" x14ac:dyDescent="0.2">
      <c r="A860">
        <v>23201.9</v>
      </c>
      <c r="B860">
        <v>2793.65</v>
      </c>
      <c r="C860">
        <v>38.979100000000003</v>
      </c>
      <c r="D860">
        <v>73.364500000000007</v>
      </c>
      <c r="E860">
        <v>553.12400000000002</v>
      </c>
      <c r="F860">
        <v>886.38400000000001</v>
      </c>
      <c r="G860">
        <f t="shared" si="35"/>
        <v>0.95298933864267266</v>
      </c>
      <c r="H860">
        <f t="shared" si="36"/>
        <v>3.3511891359343057E-2</v>
      </c>
    </row>
    <row r="861" spans="1:8" x14ac:dyDescent="0.2">
      <c r="A861">
        <v>40552.400000000001</v>
      </c>
      <c r="B861">
        <v>27221.4</v>
      </c>
      <c r="C861">
        <v>31.623200000000001</v>
      </c>
      <c r="D861">
        <v>27.3947</v>
      </c>
      <c r="E861">
        <v>725.49</v>
      </c>
      <c r="F861">
        <v>614.02</v>
      </c>
      <c r="G861">
        <f t="shared" si="35"/>
        <v>0.96819580818733753</v>
      </c>
      <c r="H861">
        <f t="shared" si="36"/>
        <v>0.68048128146063835</v>
      </c>
    </row>
    <row r="862" spans="1:8" x14ac:dyDescent="0.2">
      <c r="A862">
        <v>24610.9</v>
      </c>
      <c r="B862">
        <v>16553.5</v>
      </c>
      <c r="C862">
        <v>30.311900000000001</v>
      </c>
      <c r="D862">
        <v>54.0717</v>
      </c>
      <c r="E862">
        <v>566.71500000000003</v>
      </c>
      <c r="F862">
        <v>548.16899999999998</v>
      </c>
      <c r="G862">
        <f t="shared" si="35"/>
        <v>0.96295851388320164</v>
      </c>
      <c r="H862">
        <f t="shared" si="36"/>
        <v>0.51919637346540048</v>
      </c>
    </row>
    <row r="863" spans="1:8" x14ac:dyDescent="0.2">
      <c r="A863">
        <v>42633.9</v>
      </c>
      <c r="B863">
        <v>21514.9</v>
      </c>
      <c r="C863">
        <v>24.956099999999999</v>
      </c>
      <c r="D863">
        <v>31.0032</v>
      </c>
      <c r="E863">
        <v>736.97</v>
      </c>
      <c r="F863">
        <v>531.61900000000003</v>
      </c>
      <c r="G863">
        <f t="shared" si="35"/>
        <v>0.98642697671834401</v>
      </c>
      <c r="H863">
        <f t="shared" si="36"/>
        <v>0.71747885115626098</v>
      </c>
    </row>
    <row r="864" spans="1:8" x14ac:dyDescent="0.2">
      <c r="A864">
        <v>4048.31</v>
      </c>
      <c r="B864">
        <v>25975.200000000001</v>
      </c>
      <c r="C864">
        <v>171.55199999999999</v>
      </c>
      <c r="D864">
        <v>26.424099999999999</v>
      </c>
      <c r="E864">
        <v>596.16399999999999</v>
      </c>
      <c r="F864">
        <v>577.19000000000005</v>
      </c>
      <c r="G864">
        <f t="shared" si="35"/>
        <v>0.14313695172900137</v>
      </c>
      <c r="H864">
        <f t="shared" si="36"/>
        <v>0.73483877471345693</v>
      </c>
    </row>
    <row r="865" spans="1:8" x14ac:dyDescent="0.2">
      <c r="A865">
        <v>24747.200000000001</v>
      </c>
      <c r="B865">
        <v>33386.300000000003</v>
      </c>
      <c r="C865">
        <v>34.018500000000003</v>
      </c>
      <c r="D865">
        <v>55.016800000000003</v>
      </c>
      <c r="E865">
        <v>572.00199999999995</v>
      </c>
      <c r="F865">
        <v>799.83900000000006</v>
      </c>
      <c r="G865">
        <f t="shared" si="35"/>
        <v>0.95047450212277274</v>
      </c>
      <c r="H865">
        <f t="shared" si="36"/>
        <v>0.49185138565416359</v>
      </c>
    </row>
    <row r="866" spans="1:8" x14ac:dyDescent="0.2">
      <c r="A866">
        <v>27969.5</v>
      </c>
      <c r="B866">
        <v>36180.199999999997</v>
      </c>
      <c r="C866">
        <v>21.603000000000002</v>
      </c>
      <c r="D866">
        <v>152.65299999999999</v>
      </c>
      <c r="E866">
        <v>598.61900000000003</v>
      </c>
      <c r="F866">
        <v>1486.07</v>
      </c>
      <c r="G866">
        <f t="shared" si="35"/>
        <v>0.98082879137401757</v>
      </c>
      <c r="H866">
        <f t="shared" si="36"/>
        <v>0.15440565069669601</v>
      </c>
    </row>
    <row r="867" spans="1:8" x14ac:dyDescent="0.2">
      <c r="A867">
        <v>47708.3</v>
      </c>
      <c r="B867">
        <v>21645.599999999999</v>
      </c>
      <c r="C867">
        <v>46.851900000000001</v>
      </c>
      <c r="D867">
        <v>25.517099999999999</v>
      </c>
      <c r="E867">
        <v>840.69899999999996</v>
      </c>
      <c r="F867">
        <v>531.47699999999998</v>
      </c>
      <c r="G867">
        <f t="shared" si="35"/>
        <v>0.84824708732148746</v>
      </c>
      <c r="H867">
        <f t="shared" si="36"/>
        <v>0.72222320706190468</v>
      </c>
    </row>
    <row r="868" spans="1:8" x14ac:dyDescent="0.2">
      <c r="A868">
        <v>40061.599999999999</v>
      </c>
      <c r="B868">
        <v>27343.8</v>
      </c>
      <c r="C868">
        <v>85.440799999999996</v>
      </c>
      <c r="D868">
        <v>27.7013</v>
      </c>
      <c r="E868">
        <v>1147.57</v>
      </c>
      <c r="F868">
        <v>609.20799999999997</v>
      </c>
      <c r="G868">
        <f t="shared" si="35"/>
        <v>0.38227809659275941</v>
      </c>
      <c r="H868">
        <f t="shared" si="36"/>
        <v>0.69438196720554257</v>
      </c>
    </row>
    <row r="869" spans="1:8" x14ac:dyDescent="0.2">
      <c r="A869">
        <v>22618.6</v>
      </c>
      <c r="B869">
        <v>20499.900000000001</v>
      </c>
      <c r="C869">
        <v>42.3018</v>
      </c>
      <c r="D869">
        <v>28.524999999999999</v>
      </c>
      <c r="E869">
        <v>546.00800000000004</v>
      </c>
      <c r="F869">
        <v>515.52499999999998</v>
      </c>
      <c r="G869">
        <f t="shared" si="35"/>
        <v>0.95340451801685455</v>
      </c>
      <c r="H869">
        <f t="shared" si="36"/>
        <v>0.72698096782174071</v>
      </c>
    </row>
    <row r="870" spans="1:8" x14ac:dyDescent="0.2">
      <c r="A870">
        <v>24887.599999999999</v>
      </c>
      <c r="B870">
        <v>25126.1</v>
      </c>
      <c r="C870">
        <v>32.0685</v>
      </c>
      <c r="D870">
        <v>27.132300000000001</v>
      </c>
      <c r="E870">
        <v>579.53899999999999</v>
      </c>
      <c r="F870">
        <v>572.43700000000001</v>
      </c>
      <c r="G870">
        <f t="shared" si="35"/>
        <v>0.9311661523640794</v>
      </c>
      <c r="H870">
        <f t="shared" si="36"/>
        <v>0.72267070568471081</v>
      </c>
    </row>
    <row r="871" spans="1:8" x14ac:dyDescent="0.2">
      <c r="A871">
        <v>24778.6</v>
      </c>
      <c r="B871">
        <v>17794.7</v>
      </c>
      <c r="C871">
        <v>34.355800000000002</v>
      </c>
      <c r="D871">
        <v>34.494999999999997</v>
      </c>
      <c r="E871">
        <v>569.54499999999996</v>
      </c>
      <c r="F871">
        <v>492.66699999999997</v>
      </c>
      <c r="G871">
        <f t="shared" si="35"/>
        <v>0.9599092462197677</v>
      </c>
      <c r="H871">
        <f t="shared" si="36"/>
        <v>0.69096251104843354</v>
      </c>
    </row>
    <row r="872" spans="1:8" x14ac:dyDescent="0.2">
      <c r="A872">
        <v>33459.699999999997</v>
      </c>
      <c r="B872">
        <v>19791.5</v>
      </c>
      <c r="C872">
        <v>26.582699999999999</v>
      </c>
      <c r="D872">
        <v>30.669899999999998</v>
      </c>
      <c r="E872">
        <v>654.43299999999999</v>
      </c>
      <c r="F872">
        <v>504.33600000000001</v>
      </c>
      <c r="G872">
        <f t="shared" si="35"/>
        <v>0.98175056217016865</v>
      </c>
      <c r="H872">
        <f t="shared" si="36"/>
        <v>0.73334702076753033</v>
      </c>
    </row>
    <row r="873" spans="1:8" x14ac:dyDescent="0.2">
      <c r="A873">
        <v>27085.9</v>
      </c>
      <c r="B873">
        <v>19846.900000000001</v>
      </c>
      <c r="C873">
        <v>38.218000000000004</v>
      </c>
      <c r="D873">
        <v>27.678699999999999</v>
      </c>
      <c r="E873">
        <v>600.74199999999996</v>
      </c>
      <c r="F873">
        <v>504.11</v>
      </c>
      <c r="G873">
        <f t="shared" si="35"/>
        <v>0.94314132785005655</v>
      </c>
      <c r="H873">
        <f t="shared" si="36"/>
        <v>0.73605932125984541</v>
      </c>
    </row>
    <row r="874" spans="1:8" x14ac:dyDescent="0.2">
      <c r="A874">
        <v>31290</v>
      </c>
      <c r="B874">
        <v>3137.58</v>
      </c>
      <c r="C874">
        <v>29.7974</v>
      </c>
      <c r="D874">
        <v>98.635499999999993</v>
      </c>
      <c r="E874">
        <v>640.93499999999995</v>
      </c>
      <c r="F874">
        <v>941.81200000000001</v>
      </c>
      <c r="G874">
        <f t="shared" si="35"/>
        <v>0.95716560504341563</v>
      </c>
      <c r="H874">
        <f t="shared" si="36"/>
        <v>3.3337814770034953E-2</v>
      </c>
    </row>
    <row r="875" spans="1:8" x14ac:dyDescent="0.2">
      <c r="A875">
        <v>33853.800000000003</v>
      </c>
      <c r="B875">
        <v>31487.200000000001</v>
      </c>
      <c r="C875">
        <v>33.574300000000001</v>
      </c>
      <c r="D875">
        <v>80.310599999999994</v>
      </c>
      <c r="E875">
        <v>664.35699999999997</v>
      </c>
      <c r="F875">
        <v>857.83900000000006</v>
      </c>
      <c r="G875">
        <f t="shared" si="35"/>
        <v>0.9638598518124929</v>
      </c>
      <c r="H875">
        <f t="shared" si="36"/>
        <v>0.40326750645850273</v>
      </c>
    </row>
    <row r="876" spans="1:8" x14ac:dyDescent="0.2">
      <c r="A876">
        <v>20893.900000000001</v>
      </c>
      <c r="B876">
        <v>27145.1</v>
      </c>
      <c r="C876">
        <v>33.055900000000001</v>
      </c>
      <c r="D876">
        <v>29.504300000000001</v>
      </c>
      <c r="E876">
        <v>535.41200000000003</v>
      </c>
      <c r="F876">
        <v>596.93799999999999</v>
      </c>
      <c r="G876">
        <f t="shared" si="35"/>
        <v>0.91591001471877653</v>
      </c>
      <c r="H876">
        <f t="shared" si="36"/>
        <v>0.71796579474422018</v>
      </c>
    </row>
    <row r="877" spans="1:8" x14ac:dyDescent="0.2">
      <c r="A877">
        <v>32887.300000000003</v>
      </c>
      <c r="B877">
        <v>24060.7</v>
      </c>
      <c r="C877">
        <v>30.326499999999999</v>
      </c>
      <c r="D877">
        <v>26.132899999999999</v>
      </c>
      <c r="E877">
        <v>662.84299999999996</v>
      </c>
      <c r="F877">
        <v>559.46600000000001</v>
      </c>
      <c r="G877">
        <f t="shared" si="35"/>
        <v>0.94062467819454576</v>
      </c>
      <c r="H877">
        <f t="shared" si="36"/>
        <v>0.7244887090363461</v>
      </c>
    </row>
    <row r="878" spans="1:8" x14ac:dyDescent="0.2">
      <c r="A878">
        <v>38046.5</v>
      </c>
      <c r="B878">
        <v>18377.599999999999</v>
      </c>
      <c r="C878">
        <v>25.687899999999999</v>
      </c>
      <c r="D878">
        <v>270.78199999999998</v>
      </c>
      <c r="E878">
        <v>703.04899999999998</v>
      </c>
      <c r="F878">
        <v>1441.25</v>
      </c>
      <c r="G878">
        <f t="shared" si="35"/>
        <v>0.96728180487383164</v>
      </c>
      <c r="H878">
        <f t="shared" si="36"/>
        <v>8.3383652448027631E-2</v>
      </c>
    </row>
    <row r="879" spans="1:8" x14ac:dyDescent="0.2">
      <c r="A879">
        <v>38818.400000000001</v>
      </c>
      <c r="B879">
        <v>18972.900000000001</v>
      </c>
      <c r="C879">
        <v>34.296500000000002</v>
      </c>
      <c r="D879">
        <v>150.72300000000001</v>
      </c>
      <c r="E879">
        <v>716.05799999999999</v>
      </c>
      <c r="F879">
        <v>1280.55</v>
      </c>
      <c r="G879">
        <f t="shared" si="35"/>
        <v>0.95137278917091495</v>
      </c>
      <c r="H879">
        <f t="shared" si="36"/>
        <v>0.10904641625510979</v>
      </c>
    </row>
    <row r="880" spans="1:8" x14ac:dyDescent="0.2">
      <c r="A880">
        <v>35361</v>
      </c>
      <c r="B880">
        <v>2058.3000000000002</v>
      </c>
      <c r="C880">
        <v>33.313800000000001</v>
      </c>
      <c r="D880">
        <v>60.662500000000001</v>
      </c>
      <c r="E880">
        <v>690.452</v>
      </c>
      <c r="F880">
        <v>868.06100000000004</v>
      </c>
      <c r="G880">
        <f t="shared" si="35"/>
        <v>0.93210975162272014</v>
      </c>
      <c r="H880">
        <f t="shared" si="36"/>
        <v>2.5744172989263757E-2</v>
      </c>
    </row>
    <row r="881" spans="1:8" x14ac:dyDescent="0.2">
      <c r="A881">
        <v>34127.699999999997</v>
      </c>
      <c r="B881">
        <v>16713.2</v>
      </c>
      <c r="C881">
        <v>38.6083</v>
      </c>
      <c r="D881">
        <v>36.744399999999999</v>
      </c>
      <c r="E881">
        <v>677.72199999999998</v>
      </c>
      <c r="F881">
        <v>469.31</v>
      </c>
      <c r="G881">
        <f t="shared" si="35"/>
        <v>0.93371288077935133</v>
      </c>
      <c r="H881">
        <f t="shared" si="36"/>
        <v>0.71517241420673638</v>
      </c>
    </row>
    <row r="882" spans="1:8" x14ac:dyDescent="0.2">
      <c r="A882">
        <v>30448.3</v>
      </c>
      <c r="B882">
        <v>7670.32</v>
      </c>
      <c r="C882">
        <v>34.523299999999999</v>
      </c>
      <c r="D882">
        <v>158.29599999999999</v>
      </c>
      <c r="E882">
        <v>628.60400000000004</v>
      </c>
      <c r="F882">
        <v>1022.1</v>
      </c>
      <c r="G882">
        <f t="shared" si="35"/>
        <v>0.96831858344365196</v>
      </c>
      <c r="H882">
        <f t="shared" si="36"/>
        <v>6.9198625288089469E-2</v>
      </c>
    </row>
    <row r="883" spans="1:8" x14ac:dyDescent="0.2">
      <c r="A883">
        <v>36822.1</v>
      </c>
      <c r="B883">
        <v>25106.1</v>
      </c>
      <c r="C883">
        <v>28.830100000000002</v>
      </c>
      <c r="D883">
        <v>23.245100000000001</v>
      </c>
      <c r="E883">
        <v>687.03200000000004</v>
      </c>
      <c r="F883">
        <v>567.20799999999997</v>
      </c>
      <c r="G883">
        <f t="shared" si="35"/>
        <v>0.98031154845762813</v>
      </c>
      <c r="H883">
        <f t="shared" si="36"/>
        <v>0.73547060507525741</v>
      </c>
    </row>
    <row r="884" spans="1:8" x14ac:dyDescent="0.2">
      <c r="A884">
        <v>45907.3</v>
      </c>
      <c r="B884">
        <v>25350</v>
      </c>
      <c r="C884">
        <v>88.119900000000001</v>
      </c>
      <c r="D884">
        <v>30.660499999999999</v>
      </c>
      <c r="E884">
        <v>1097.9100000000001</v>
      </c>
      <c r="F884">
        <v>572.88300000000004</v>
      </c>
      <c r="G884">
        <f t="shared" si="35"/>
        <v>0.47858354965994476</v>
      </c>
      <c r="H884">
        <f t="shared" si="36"/>
        <v>0.72797565236747885</v>
      </c>
    </row>
    <row r="885" spans="1:8" x14ac:dyDescent="0.2">
      <c r="A885">
        <v>27369.5</v>
      </c>
      <c r="B885">
        <v>17003.099999999999</v>
      </c>
      <c r="C885">
        <v>24.257100000000001</v>
      </c>
      <c r="D885">
        <v>27.6126</v>
      </c>
      <c r="E885">
        <v>610.10599999999999</v>
      </c>
      <c r="F885">
        <v>474.952</v>
      </c>
      <c r="G885">
        <f t="shared" si="35"/>
        <v>0.92398680372111541</v>
      </c>
      <c r="H885">
        <f t="shared" si="36"/>
        <v>0.71039423435939486</v>
      </c>
    </row>
    <row r="886" spans="1:8" x14ac:dyDescent="0.2">
      <c r="A886">
        <v>27210.799999999999</v>
      </c>
      <c r="B886">
        <v>2021.25</v>
      </c>
      <c r="C886">
        <v>25.058800000000002</v>
      </c>
      <c r="D886">
        <v>126.348</v>
      </c>
      <c r="E886">
        <v>591.74800000000005</v>
      </c>
      <c r="F886">
        <v>598.09199999999998</v>
      </c>
      <c r="G886">
        <f t="shared" si="35"/>
        <v>0.97651115765591567</v>
      </c>
      <c r="H886">
        <f t="shared" si="36"/>
        <v>5.3254315480013026E-2</v>
      </c>
    </row>
    <row r="887" spans="1:8" x14ac:dyDescent="0.2">
      <c r="A887">
        <v>43408.9</v>
      </c>
      <c r="B887">
        <v>19889.400000000001</v>
      </c>
      <c r="C887">
        <v>31.985199999999999</v>
      </c>
      <c r="D887">
        <v>31.452300000000001</v>
      </c>
      <c r="E887">
        <v>752.61699999999996</v>
      </c>
      <c r="F887">
        <v>512.19299999999998</v>
      </c>
      <c r="G887">
        <f t="shared" si="35"/>
        <v>0.96303091775484506</v>
      </c>
      <c r="H887">
        <f t="shared" si="36"/>
        <v>0.71453772850732344</v>
      </c>
    </row>
    <row r="888" spans="1:8" x14ac:dyDescent="0.2">
      <c r="A888">
        <v>43594.3</v>
      </c>
      <c r="B888">
        <v>18131.400000000001</v>
      </c>
      <c r="C888">
        <v>47.568300000000001</v>
      </c>
      <c r="D888">
        <v>134.05600000000001</v>
      </c>
      <c r="E888">
        <v>876.88199999999995</v>
      </c>
      <c r="F888">
        <v>824.33299999999997</v>
      </c>
      <c r="G888">
        <f t="shared" si="35"/>
        <v>0.71245410832187661</v>
      </c>
      <c r="H888">
        <f t="shared" si="36"/>
        <v>0.25147610641389945</v>
      </c>
    </row>
    <row r="889" spans="1:8" x14ac:dyDescent="0.2">
      <c r="A889">
        <v>30389.7</v>
      </c>
      <c r="B889">
        <v>17839.7</v>
      </c>
      <c r="C889">
        <v>31.709</v>
      </c>
      <c r="D889">
        <v>34.618099999999998</v>
      </c>
      <c r="E889">
        <v>626.71600000000001</v>
      </c>
      <c r="F889">
        <v>487.79199999999997</v>
      </c>
      <c r="G889">
        <f t="shared" si="35"/>
        <v>0.9722867007208621</v>
      </c>
      <c r="H889">
        <f t="shared" si="36"/>
        <v>0.70662493832747686</v>
      </c>
    </row>
    <row r="890" spans="1:8" x14ac:dyDescent="0.2">
      <c r="A890">
        <v>25226.2</v>
      </c>
      <c r="B890">
        <v>7007.77</v>
      </c>
      <c r="C890">
        <v>42.288400000000003</v>
      </c>
      <c r="D890">
        <v>129.94300000000001</v>
      </c>
      <c r="E890">
        <v>618.07100000000003</v>
      </c>
      <c r="F890">
        <v>1422.41</v>
      </c>
      <c r="G890">
        <f t="shared" si="35"/>
        <v>0.82982133787754586</v>
      </c>
      <c r="H890">
        <f t="shared" si="36"/>
        <v>3.2643822399466477E-2</v>
      </c>
    </row>
    <row r="891" spans="1:8" x14ac:dyDescent="0.2">
      <c r="A891">
        <v>42722.7</v>
      </c>
      <c r="B891">
        <v>19692.7</v>
      </c>
      <c r="C891">
        <v>66.710300000000004</v>
      </c>
      <c r="D891">
        <v>32.954599999999999</v>
      </c>
      <c r="E891">
        <v>804.90800000000002</v>
      </c>
      <c r="F891">
        <v>516.09900000000005</v>
      </c>
      <c r="G891">
        <f t="shared" si="35"/>
        <v>0.82865871268354641</v>
      </c>
      <c r="H891">
        <f t="shared" si="36"/>
        <v>0.69680296550783472</v>
      </c>
    </row>
    <row r="892" spans="1:8" x14ac:dyDescent="0.2">
      <c r="A892">
        <v>36537.4</v>
      </c>
      <c r="B892">
        <v>22231.8</v>
      </c>
      <c r="C892">
        <v>33.891199999999998</v>
      </c>
      <c r="D892">
        <v>28.969200000000001</v>
      </c>
      <c r="E892">
        <v>691.88499999999999</v>
      </c>
      <c r="F892">
        <v>567.81899999999996</v>
      </c>
      <c r="G892">
        <f t="shared" si="35"/>
        <v>0.95913404422535664</v>
      </c>
      <c r="H892">
        <f t="shared" si="36"/>
        <v>0.64986858936572045</v>
      </c>
    </row>
    <row r="893" spans="1:8" x14ac:dyDescent="0.2">
      <c r="A893">
        <v>39032.5</v>
      </c>
      <c r="B893">
        <v>2844.72</v>
      </c>
      <c r="C893">
        <v>33.905099999999997</v>
      </c>
      <c r="D893">
        <v>82.685000000000002</v>
      </c>
      <c r="E893">
        <v>718.18499999999995</v>
      </c>
      <c r="F893">
        <v>1053.49</v>
      </c>
      <c r="G893">
        <f t="shared" si="35"/>
        <v>0.95096209209258376</v>
      </c>
      <c r="H893">
        <f t="shared" si="36"/>
        <v>2.4157358904257149E-2</v>
      </c>
    </row>
    <row r="894" spans="1:8" x14ac:dyDescent="0.2">
      <c r="A894">
        <v>18784.599999999999</v>
      </c>
      <c r="B894">
        <v>18402</v>
      </c>
      <c r="C894">
        <v>28.287199999999999</v>
      </c>
      <c r="D894">
        <v>25.623100000000001</v>
      </c>
      <c r="E894">
        <v>490.47500000000002</v>
      </c>
      <c r="F894">
        <v>488.83</v>
      </c>
      <c r="G894">
        <f t="shared" si="35"/>
        <v>0.98124554294973432</v>
      </c>
      <c r="H894">
        <f t="shared" si="36"/>
        <v>0.72580521551583055</v>
      </c>
    </row>
    <row r="895" spans="1:8" x14ac:dyDescent="0.2">
      <c r="A895">
        <v>30246</v>
      </c>
      <c r="B895">
        <v>22491.200000000001</v>
      </c>
      <c r="C895">
        <v>41.379399999999997</v>
      </c>
      <c r="D895">
        <v>30.125</v>
      </c>
      <c r="E895">
        <v>632.68399999999997</v>
      </c>
      <c r="F895">
        <v>559.91499999999996</v>
      </c>
      <c r="G895">
        <f t="shared" si="35"/>
        <v>0.94951917968739308</v>
      </c>
      <c r="H895">
        <f t="shared" si="36"/>
        <v>0.67614397654791814</v>
      </c>
    </row>
    <row r="896" spans="1:8" x14ac:dyDescent="0.2">
      <c r="A896">
        <v>36073.300000000003</v>
      </c>
      <c r="B896">
        <v>23441</v>
      </c>
      <c r="C896">
        <v>37.115400000000001</v>
      </c>
      <c r="D896">
        <v>31.411799999999999</v>
      </c>
      <c r="E896">
        <v>691.49800000000005</v>
      </c>
      <c r="F896">
        <v>578.57899999999995</v>
      </c>
      <c r="G896">
        <f t="shared" si="35"/>
        <v>0.94801130007745926</v>
      </c>
      <c r="H896">
        <f t="shared" si="36"/>
        <v>0.65996600028484886</v>
      </c>
    </row>
    <row r="897" spans="1:8" x14ac:dyDescent="0.2">
      <c r="A897">
        <v>43373.4</v>
      </c>
      <c r="B897">
        <v>18627.2</v>
      </c>
      <c r="C897">
        <v>39.657499999999999</v>
      </c>
      <c r="D897">
        <v>204.911</v>
      </c>
      <c r="E897">
        <v>760.40200000000004</v>
      </c>
      <c r="F897">
        <v>1159.44</v>
      </c>
      <c r="G897">
        <f t="shared" si="35"/>
        <v>0.94264130012010028</v>
      </c>
      <c r="H897">
        <f t="shared" si="36"/>
        <v>0.13059356565871105</v>
      </c>
    </row>
    <row r="898" spans="1:8" x14ac:dyDescent="0.2">
      <c r="A898">
        <v>25501</v>
      </c>
      <c r="B898">
        <v>49687.4</v>
      </c>
      <c r="C898">
        <v>24.5595</v>
      </c>
      <c r="D898">
        <v>39.0015</v>
      </c>
      <c r="E898">
        <v>582.56100000000004</v>
      </c>
      <c r="F898">
        <v>907.39700000000005</v>
      </c>
      <c r="G898">
        <f t="shared" si="35"/>
        <v>0.94424326165250838</v>
      </c>
      <c r="H898">
        <f t="shared" si="36"/>
        <v>0.56875123716704268</v>
      </c>
    </row>
    <row r="899" spans="1:8" x14ac:dyDescent="0.2">
      <c r="A899">
        <v>23201.9</v>
      </c>
      <c r="B899">
        <v>18450.5</v>
      </c>
      <c r="C899">
        <v>35.771299999999997</v>
      </c>
      <c r="D899">
        <v>27.802199999999999</v>
      </c>
      <c r="E899">
        <v>553.30700000000002</v>
      </c>
      <c r="F899">
        <v>509.67</v>
      </c>
      <c r="G899">
        <f t="shared" ref="G899:G962" si="37" xml:space="preserve"> 3.14159*4*A899/(E899*E899)</f>
        <v>0.95235906210884624</v>
      </c>
      <c r="H899">
        <f t="shared" ref="H899:H962" si="38" xml:space="preserve"> 3*3.14159*B899/(F899*F899)</f>
        <v>0.66942319812881146</v>
      </c>
    </row>
    <row r="900" spans="1:8" x14ac:dyDescent="0.2">
      <c r="A900">
        <v>40458.699999999997</v>
      </c>
      <c r="B900">
        <v>17981.900000000001</v>
      </c>
      <c r="C900">
        <v>32.388599999999997</v>
      </c>
      <c r="D900">
        <v>29.818100000000001</v>
      </c>
      <c r="E900">
        <v>725.01099999999997</v>
      </c>
      <c r="F900">
        <v>491.68099999999998</v>
      </c>
      <c r="G900">
        <f t="shared" si="37"/>
        <v>0.96723550403552938</v>
      </c>
      <c r="H900">
        <f t="shared" si="38"/>
        <v>0.70103465322609604</v>
      </c>
    </row>
    <row r="901" spans="1:8" x14ac:dyDescent="0.2">
      <c r="A901">
        <v>24445.200000000001</v>
      </c>
      <c r="B901">
        <v>21486.400000000001</v>
      </c>
      <c r="C901">
        <v>37.542299999999997</v>
      </c>
      <c r="D901">
        <v>31.738299999999999</v>
      </c>
      <c r="E901">
        <v>566.57299999999998</v>
      </c>
      <c r="F901">
        <v>539.79899999999998</v>
      </c>
      <c r="G901">
        <f t="shared" si="37"/>
        <v>0.95695461942190385</v>
      </c>
      <c r="H901">
        <f t="shared" si="38"/>
        <v>0.69497673388078118</v>
      </c>
    </row>
    <row r="902" spans="1:8" x14ac:dyDescent="0.2">
      <c r="A902">
        <v>22251.8</v>
      </c>
      <c r="B902">
        <v>27671.8</v>
      </c>
      <c r="C902">
        <v>32.247500000000002</v>
      </c>
      <c r="D902">
        <v>24.110900000000001</v>
      </c>
      <c r="E902">
        <v>539.11400000000003</v>
      </c>
      <c r="F902">
        <v>594.31899999999996</v>
      </c>
      <c r="G902">
        <f t="shared" si="37"/>
        <v>0.96208495909056924</v>
      </c>
      <c r="H902">
        <f t="shared" si="38"/>
        <v>0.738361326737908</v>
      </c>
    </row>
    <row r="903" spans="1:8" x14ac:dyDescent="0.2">
      <c r="A903">
        <v>42686.3</v>
      </c>
      <c r="B903">
        <v>26547.200000000001</v>
      </c>
      <c r="C903">
        <v>24.7013</v>
      </c>
      <c r="D903">
        <v>32.288200000000003</v>
      </c>
      <c r="E903">
        <v>737.16600000000005</v>
      </c>
      <c r="F903">
        <v>597.26</v>
      </c>
      <c r="G903">
        <f t="shared" si="37"/>
        <v>0.98711423996286396</v>
      </c>
      <c r="H903">
        <f t="shared" si="38"/>
        <v>0.70139493022780786</v>
      </c>
    </row>
    <row r="904" spans="1:8" x14ac:dyDescent="0.2">
      <c r="A904">
        <v>4118.62</v>
      </c>
      <c r="B904">
        <v>23855.599999999999</v>
      </c>
      <c r="C904">
        <v>261.13799999999998</v>
      </c>
      <c r="D904">
        <v>34.243099999999998</v>
      </c>
      <c r="E904">
        <v>582.21900000000005</v>
      </c>
      <c r="F904">
        <v>556.67100000000005</v>
      </c>
      <c r="G904">
        <f t="shared" si="37"/>
        <v>0.15268222257341785</v>
      </c>
      <c r="H904">
        <f t="shared" si="38"/>
        <v>0.72554425961978908</v>
      </c>
    </row>
    <row r="905" spans="1:8" x14ac:dyDescent="0.2">
      <c r="A905">
        <v>24680.5</v>
      </c>
      <c r="B905">
        <v>23155</v>
      </c>
      <c r="C905">
        <v>33.760800000000003</v>
      </c>
      <c r="D905">
        <v>27.013400000000001</v>
      </c>
      <c r="E905">
        <v>572.54300000000001</v>
      </c>
      <c r="F905">
        <v>573.755</v>
      </c>
      <c r="G905">
        <f t="shared" si="37"/>
        <v>0.94612219875033532</v>
      </c>
      <c r="H905">
        <f t="shared" si="38"/>
        <v>0.66292222517921573</v>
      </c>
    </row>
    <row r="906" spans="1:8" x14ac:dyDescent="0.2">
      <c r="A906">
        <v>38795</v>
      </c>
      <c r="B906">
        <v>30413.599999999999</v>
      </c>
      <c r="C906">
        <v>25.8323</v>
      </c>
      <c r="D906">
        <v>88.634500000000003</v>
      </c>
      <c r="E906">
        <v>710.072</v>
      </c>
      <c r="F906">
        <v>856.27599999999995</v>
      </c>
      <c r="G906">
        <f t="shared" si="37"/>
        <v>0.96689759091035155</v>
      </c>
      <c r="H906">
        <f t="shared" si="38"/>
        <v>0.39094084479435254</v>
      </c>
    </row>
    <row r="907" spans="1:8" x14ac:dyDescent="0.2">
      <c r="A907">
        <v>33809.699999999997</v>
      </c>
      <c r="B907">
        <v>16527.099999999999</v>
      </c>
      <c r="C907">
        <v>39.424799999999998</v>
      </c>
      <c r="D907">
        <v>23.9041</v>
      </c>
      <c r="E907">
        <v>666.60500000000002</v>
      </c>
      <c r="F907">
        <v>462.40499999999997</v>
      </c>
      <c r="G907">
        <f t="shared" si="37"/>
        <v>0.95612281334664306</v>
      </c>
      <c r="H907">
        <f t="shared" si="38"/>
        <v>0.72848795007630307</v>
      </c>
    </row>
    <row r="908" spans="1:8" x14ac:dyDescent="0.2">
      <c r="A908">
        <v>48478.400000000001</v>
      </c>
      <c r="B908">
        <v>40982</v>
      </c>
      <c r="C908">
        <v>50.939100000000003</v>
      </c>
      <c r="D908">
        <v>29.2745</v>
      </c>
      <c r="E908">
        <v>843.07</v>
      </c>
      <c r="F908">
        <v>728.28399999999999</v>
      </c>
      <c r="G908">
        <f t="shared" si="37"/>
        <v>0.85709804377842347</v>
      </c>
      <c r="H908">
        <f t="shared" si="38"/>
        <v>0.72821961357630893</v>
      </c>
    </row>
    <row r="909" spans="1:8" x14ac:dyDescent="0.2">
      <c r="A909">
        <v>28081</v>
      </c>
      <c r="B909">
        <v>25535.200000000001</v>
      </c>
      <c r="C909">
        <v>31.2331</v>
      </c>
      <c r="D909">
        <v>28.430900000000001</v>
      </c>
      <c r="E909">
        <v>601.64</v>
      </c>
      <c r="F909">
        <v>578.87900000000002</v>
      </c>
      <c r="G909">
        <f t="shared" si="37"/>
        <v>0.9748743898296014</v>
      </c>
      <c r="H909">
        <f t="shared" si="38"/>
        <v>0.71818186497372249</v>
      </c>
    </row>
    <row r="910" spans="1:8" x14ac:dyDescent="0.2">
      <c r="A910">
        <v>41859</v>
      </c>
      <c r="B910">
        <v>18437.7</v>
      </c>
      <c r="C910">
        <v>72.031999999999996</v>
      </c>
      <c r="D910">
        <v>99.519900000000007</v>
      </c>
      <c r="E910">
        <v>1148.81</v>
      </c>
      <c r="F910">
        <v>764.47500000000002</v>
      </c>
      <c r="G910">
        <f t="shared" si="37"/>
        <v>0.39856754495201008</v>
      </c>
      <c r="H910">
        <f t="shared" si="38"/>
        <v>0.29733835175558876</v>
      </c>
    </row>
    <row r="911" spans="1:8" x14ac:dyDescent="0.2">
      <c r="A911">
        <v>22445.5</v>
      </c>
      <c r="B911">
        <v>22829.7</v>
      </c>
      <c r="C911">
        <v>34.504899999999999</v>
      </c>
      <c r="D911">
        <v>29.611499999999999</v>
      </c>
      <c r="E911">
        <v>545.59900000000005</v>
      </c>
      <c r="F911">
        <v>561.08799999999997</v>
      </c>
      <c r="G911">
        <f t="shared" si="37"/>
        <v>0.94752712220507385</v>
      </c>
      <c r="H911">
        <f t="shared" si="38"/>
        <v>0.68345355062598645</v>
      </c>
    </row>
    <row r="912" spans="1:8" x14ac:dyDescent="0.2">
      <c r="A912">
        <v>24944.1</v>
      </c>
      <c r="B912">
        <v>18362.5</v>
      </c>
      <c r="C912">
        <v>32.780999999999999</v>
      </c>
      <c r="D912">
        <v>29.688500000000001</v>
      </c>
      <c r="E912">
        <v>582.59699999999998</v>
      </c>
      <c r="F912">
        <v>488.49099999999999</v>
      </c>
      <c r="G912">
        <f t="shared" si="37"/>
        <v>0.92350839608881208</v>
      </c>
      <c r="H912">
        <f t="shared" si="38"/>
        <v>0.72525283659038808</v>
      </c>
    </row>
    <row r="913" spans="1:8" x14ac:dyDescent="0.2">
      <c r="A913">
        <v>24710.5</v>
      </c>
      <c r="B913">
        <v>18505.099999999999</v>
      </c>
      <c r="C913">
        <v>36.716799999999999</v>
      </c>
      <c r="D913">
        <v>43.238399999999999</v>
      </c>
      <c r="E913">
        <v>569.84500000000003</v>
      </c>
      <c r="F913">
        <v>550.22799999999995</v>
      </c>
      <c r="G913">
        <f t="shared" si="37"/>
        <v>0.95626342737269276</v>
      </c>
      <c r="H913">
        <f t="shared" si="38"/>
        <v>0.57607207439408681</v>
      </c>
    </row>
    <row r="914" spans="1:8" x14ac:dyDescent="0.2">
      <c r="A914">
        <v>33325</v>
      </c>
      <c r="B914">
        <v>20448.5</v>
      </c>
      <c r="C914">
        <v>24.379000000000001</v>
      </c>
      <c r="D914">
        <v>26.897400000000001</v>
      </c>
      <c r="E914">
        <v>652.54499999999996</v>
      </c>
      <c r="F914">
        <v>511.86399999999998</v>
      </c>
      <c r="G914">
        <f t="shared" si="37"/>
        <v>0.98346457873747684</v>
      </c>
      <c r="H914">
        <f t="shared" si="38"/>
        <v>0.73556836674863568</v>
      </c>
    </row>
    <row r="915" spans="1:8" x14ac:dyDescent="0.2">
      <c r="A915">
        <v>27221.8</v>
      </c>
      <c r="B915">
        <v>34210.6</v>
      </c>
      <c r="C915">
        <v>38.836799999999997</v>
      </c>
      <c r="D915">
        <v>35.153799999999997</v>
      </c>
      <c r="E915">
        <v>604.14700000000005</v>
      </c>
      <c r="F915">
        <v>670.06200000000001</v>
      </c>
      <c r="G915">
        <f t="shared" si="37"/>
        <v>0.93721901120702</v>
      </c>
      <c r="H915">
        <f t="shared" si="38"/>
        <v>0.71812735972482156</v>
      </c>
    </row>
    <row r="916" spans="1:8" x14ac:dyDescent="0.2">
      <c r="A916">
        <v>31210.799999999999</v>
      </c>
      <c r="B916">
        <v>23338.2</v>
      </c>
      <c r="C916">
        <v>36.6265</v>
      </c>
      <c r="D916">
        <v>30.621200000000002</v>
      </c>
      <c r="E916">
        <v>640.21199999999999</v>
      </c>
      <c r="F916">
        <v>547.70799999999997</v>
      </c>
      <c r="G916">
        <f t="shared" si="37"/>
        <v>0.95690049112254216</v>
      </c>
      <c r="H916">
        <f t="shared" si="38"/>
        <v>0.73322953277262171</v>
      </c>
    </row>
    <row r="917" spans="1:8" x14ac:dyDescent="0.2">
      <c r="A917">
        <v>22106.3</v>
      </c>
      <c r="B917">
        <v>25304.9</v>
      </c>
      <c r="C917">
        <v>30.9757</v>
      </c>
      <c r="D917">
        <v>31.045999999999999</v>
      </c>
      <c r="E917">
        <v>533.23800000000006</v>
      </c>
      <c r="F917">
        <v>573.827</v>
      </c>
      <c r="G917">
        <f t="shared" si="37"/>
        <v>0.97697482971231209</v>
      </c>
      <c r="H917">
        <f t="shared" si="38"/>
        <v>0.72429156569155362</v>
      </c>
    </row>
    <row r="918" spans="1:8" x14ac:dyDescent="0.2">
      <c r="A918">
        <v>26815.3</v>
      </c>
      <c r="B918">
        <v>23693.3</v>
      </c>
      <c r="C918">
        <v>23.814900000000002</v>
      </c>
      <c r="D918">
        <v>28.598600000000001</v>
      </c>
      <c r="E918">
        <v>588.34500000000003</v>
      </c>
      <c r="F918">
        <v>561.60199999999998</v>
      </c>
      <c r="G918">
        <f t="shared" si="37"/>
        <v>0.97348221873263074</v>
      </c>
      <c r="H918">
        <f t="shared" si="38"/>
        <v>0.70800939802467178</v>
      </c>
    </row>
    <row r="919" spans="1:8" x14ac:dyDescent="0.2">
      <c r="A919">
        <v>22926</v>
      </c>
      <c r="B919">
        <v>21940.9</v>
      </c>
      <c r="C919">
        <v>32.579799999999999</v>
      </c>
      <c r="D919">
        <v>26.967199999999998</v>
      </c>
      <c r="E919">
        <v>544.37199999999996</v>
      </c>
      <c r="F919">
        <v>539.44799999999998</v>
      </c>
      <c r="G919">
        <f t="shared" si="37"/>
        <v>0.97217898124537261</v>
      </c>
      <c r="H919">
        <f t="shared" si="38"/>
        <v>0.71060134316416013</v>
      </c>
    </row>
    <row r="920" spans="1:8" x14ac:dyDescent="0.2">
      <c r="A920">
        <v>24341.200000000001</v>
      </c>
      <c r="B920">
        <v>9381.4</v>
      </c>
      <c r="C920">
        <v>39.598599999999998</v>
      </c>
      <c r="D920">
        <v>124.79</v>
      </c>
      <c r="E920">
        <v>567.65099999999995</v>
      </c>
      <c r="F920">
        <v>1177.46</v>
      </c>
      <c r="G920">
        <f t="shared" si="37"/>
        <v>0.94926762066124171</v>
      </c>
      <c r="H920">
        <f t="shared" si="38"/>
        <v>6.3774357108307742E-2</v>
      </c>
    </row>
    <row r="921" spans="1:8" x14ac:dyDescent="0.2">
      <c r="A921">
        <v>23904.1</v>
      </c>
      <c r="B921">
        <v>18328.400000000001</v>
      </c>
      <c r="C921">
        <v>28.008500000000002</v>
      </c>
      <c r="D921">
        <v>31.611699999999999</v>
      </c>
      <c r="E921">
        <v>557.47500000000002</v>
      </c>
      <c r="F921">
        <v>500.572</v>
      </c>
      <c r="G921">
        <f t="shared" si="37"/>
        <v>0.96656508185904744</v>
      </c>
      <c r="H921">
        <f t="shared" si="38"/>
        <v>0.68938560139226002</v>
      </c>
    </row>
    <row r="922" spans="1:8" x14ac:dyDescent="0.2">
      <c r="A922">
        <v>40684.9</v>
      </c>
      <c r="B922">
        <v>31981.4</v>
      </c>
      <c r="C922">
        <v>32.353000000000002</v>
      </c>
      <c r="D922">
        <v>42.426299999999998</v>
      </c>
      <c r="E922">
        <v>730.58</v>
      </c>
      <c r="F922">
        <v>877.91200000000003</v>
      </c>
      <c r="G922">
        <f t="shared" si="37"/>
        <v>0.95787136847672261</v>
      </c>
      <c r="H922">
        <f t="shared" si="38"/>
        <v>0.39108058949310803</v>
      </c>
    </row>
    <row r="923" spans="1:8" x14ac:dyDescent="0.2">
      <c r="A923">
        <v>752.31</v>
      </c>
      <c r="B923">
        <v>15477</v>
      </c>
      <c r="C923">
        <v>36.372999999999998</v>
      </c>
      <c r="D923">
        <v>32.763599999999997</v>
      </c>
      <c r="E923">
        <v>102.68899999999999</v>
      </c>
      <c r="F923">
        <v>448.63099999999997</v>
      </c>
      <c r="G923">
        <f t="shared" si="37"/>
        <v>0.89651690371779991</v>
      </c>
      <c r="H923">
        <f t="shared" si="38"/>
        <v>0.72473458023218984</v>
      </c>
    </row>
    <row r="924" spans="1:8" x14ac:dyDescent="0.2">
      <c r="A924">
        <v>22587.4</v>
      </c>
      <c r="B924">
        <v>19149.400000000001</v>
      </c>
      <c r="C924">
        <v>29.915099999999999</v>
      </c>
      <c r="D924">
        <v>47.824199999999998</v>
      </c>
      <c r="E924">
        <v>541.25699999999995</v>
      </c>
      <c r="F924">
        <v>608.125</v>
      </c>
      <c r="G924">
        <f t="shared" si="37"/>
        <v>0.96887709260931454</v>
      </c>
      <c r="H924">
        <f t="shared" si="38"/>
        <v>0.48802291683605342</v>
      </c>
    </row>
    <row r="925" spans="1:8" x14ac:dyDescent="0.2">
      <c r="A925">
        <v>21795.4</v>
      </c>
      <c r="B925">
        <v>4068.83</v>
      </c>
      <c r="C925">
        <v>24.711600000000001</v>
      </c>
      <c r="D925">
        <v>100.911</v>
      </c>
      <c r="E925">
        <v>530.56399999999996</v>
      </c>
      <c r="F925">
        <v>845.70799999999997</v>
      </c>
      <c r="G925">
        <f t="shared" si="37"/>
        <v>0.97296850749053598</v>
      </c>
      <c r="H925">
        <f t="shared" si="38"/>
        <v>5.3616619425851268E-2</v>
      </c>
    </row>
    <row r="926" spans="1:8" x14ac:dyDescent="0.2">
      <c r="A926">
        <v>23776.1</v>
      </c>
      <c r="B926">
        <v>17112.2</v>
      </c>
      <c r="C926">
        <v>34.933999999999997</v>
      </c>
      <c r="D926">
        <v>26.303999999999998</v>
      </c>
      <c r="E926">
        <v>560.50599999999997</v>
      </c>
      <c r="F926">
        <v>470.92700000000002</v>
      </c>
      <c r="G926">
        <f t="shared" si="37"/>
        <v>0.9510198550014477</v>
      </c>
      <c r="H926">
        <f t="shared" si="38"/>
        <v>0.72722604813825498</v>
      </c>
    </row>
    <row r="927" spans="1:8" x14ac:dyDescent="0.2">
      <c r="A927">
        <v>23629</v>
      </c>
      <c r="B927">
        <v>2604.79</v>
      </c>
      <c r="C927">
        <v>26.9251</v>
      </c>
      <c r="D927">
        <v>50.073599999999999</v>
      </c>
      <c r="E927">
        <v>550.50400000000002</v>
      </c>
      <c r="F927">
        <v>774.899</v>
      </c>
      <c r="G927">
        <f t="shared" si="37"/>
        <v>0.97979198308013205</v>
      </c>
      <c r="H927">
        <f t="shared" si="38"/>
        <v>4.088399021004753E-2</v>
      </c>
    </row>
    <row r="928" spans="1:8" x14ac:dyDescent="0.2">
      <c r="A928">
        <v>22705.3</v>
      </c>
      <c r="B928">
        <v>47636.800000000003</v>
      </c>
      <c r="C928">
        <v>35.218000000000004</v>
      </c>
      <c r="D928">
        <v>43.127699999999997</v>
      </c>
      <c r="E928">
        <v>546.91</v>
      </c>
      <c r="F928">
        <v>851.95500000000004</v>
      </c>
      <c r="G928">
        <f t="shared" si="37"/>
        <v>0.95390475367859495</v>
      </c>
      <c r="H928">
        <f t="shared" si="38"/>
        <v>0.61855743082724013</v>
      </c>
    </row>
    <row r="929" spans="1:8" x14ac:dyDescent="0.2">
      <c r="A929">
        <v>34239.800000000003</v>
      </c>
      <c r="B929">
        <v>21774.6</v>
      </c>
      <c r="C929">
        <v>32.2836</v>
      </c>
      <c r="D929">
        <v>34.984999999999999</v>
      </c>
      <c r="E929">
        <v>731.24300000000005</v>
      </c>
      <c r="F929">
        <v>562.38300000000004</v>
      </c>
      <c r="G929">
        <f t="shared" si="37"/>
        <v>0.80466900480094972</v>
      </c>
      <c r="H929">
        <f t="shared" si="38"/>
        <v>0.64886833067825589</v>
      </c>
    </row>
    <row r="930" spans="1:8" x14ac:dyDescent="0.2">
      <c r="A930">
        <v>35239.5</v>
      </c>
      <c r="B930">
        <v>12159.7</v>
      </c>
      <c r="C930">
        <v>26.077400000000001</v>
      </c>
      <c r="D930">
        <v>199.92</v>
      </c>
      <c r="E930">
        <v>677.51499999999999</v>
      </c>
      <c r="F930">
        <v>1505.57</v>
      </c>
      <c r="G930">
        <f t="shared" si="37"/>
        <v>0.96472027355483281</v>
      </c>
      <c r="H930">
        <f t="shared" si="38"/>
        <v>5.0558213095409005E-2</v>
      </c>
    </row>
    <row r="931" spans="1:8" x14ac:dyDescent="0.2">
      <c r="A931">
        <v>45974.6</v>
      </c>
      <c r="B931">
        <v>4244.3999999999996</v>
      </c>
      <c r="C931">
        <v>28.797499999999999</v>
      </c>
      <c r="D931">
        <v>77.359300000000005</v>
      </c>
      <c r="E931">
        <v>783.64099999999996</v>
      </c>
      <c r="F931">
        <v>1023.54</v>
      </c>
      <c r="G931">
        <f t="shared" si="37"/>
        <v>0.94079100464637455</v>
      </c>
      <c r="H931">
        <f t="shared" si="38"/>
        <v>3.8183648834451543E-2</v>
      </c>
    </row>
    <row r="932" spans="1:8" x14ac:dyDescent="0.2">
      <c r="A932">
        <v>45598.7</v>
      </c>
      <c r="B932">
        <v>17232.7</v>
      </c>
      <c r="C932">
        <v>37.817599999999999</v>
      </c>
      <c r="D932">
        <v>37.722999999999999</v>
      </c>
      <c r="E932">
        <v>847.31</v>
      </c>
      <c r="F932">
        <v>474.09500000000003</v>
      </c>
      <c r="G932">
        <f t="shared" si="37"/>
        <v>0.79813672467374353</v>
      </c>
      <c r="H932">
        <f t="shared" si="38"/>
        <v>0.7225923142382098</v>
      </c>
    </row>
    <row r="933" spans="1:8" x14ac:dyDescent="0.2">
      <c r="A933">
        <v>28029.8</v>
      </c>
      <c r="B933">
        <v>7734.91</v>
      </c>
      <c r="C933">
        <v>35.8855</v>
      </c>
      <c r="D933">
        <v>124.21299999999999</v>
      </c>
      <c r="E933">
        <v>610.24699999999996</v>
      </c>
      <c r="F933">
        <v>1122.22</v>
      </c>
      <c r="G933">
        <f t="shared" si="37"/>
        <v>0.94584111814200034</v>
      </c>
      <c r="H933">
        <f t="shared" si="38"/>
        <v>5.7885530351022507E-2</v>
      </c>
    </row>
    <row r="934" spans="1:8" x14ac:dyDescent="0.2">
      <c r="A934">
        <v>29183.7</v>
      </c>
      <c r="B934">
        <v>4456.12</v>
      </c>
      <c r="C934">
        <v>25.4954</v>
      </c>
      <c r="D934">
        <v>62.734200000000001</v>
      </c>
      <c r="E934">
        <v>615.01700000000005</v>
      </c>
      <c r="F934">
        <v>921.447</v>
      </c>
      <c r="G934">
        <f t="shared" si="37"/>
        <v>0.9695620503914939</v>
      </c>
      <c r="H934">
        <f t="shared" si="38"/>
        <v>4.9463736196167771E-2</v>
      </c>
    </row>
    <row r="935" spans="1:8" x14ac:dyDescent="0.2">
      <c r="A935">
        <v>37608.699999999997</v>
      </c>
      <c r="B935">
        <v>2882.57</v>
      </c>
      <c r="C935">
        <v>23.239899999999999</v>
      </c>
      <c r="D935">
        <v>74.900599999999997</v>
      </c>
      <c r="E935">
        <v>708.15300000000002</v>
      </c>
      <c r="F935">
        <v>900.78300000000002</v>
      </c>
      <c r="G935">
        <f t="shared" si="37"/>
        <v>0.94241810358140599</v>
      </c>
      <c r="H935">
        <f t="shared" si="38"/>
        <v>3.3481912745289361E-2</v>
      </c>
    </row>
    <row r="936" spans="1:8" x14ac:dyDescent="0.2">
      <c r="A936">
        <v>32500.9</v>
      </c>
      <c r="B936">
        <v>30576.9</v>
      </c>
      <c r="C936">
        <v>34.130800000000001</v>
      </c>
      <c r="D936">
        <v>26.9695</v>
      </c>
      <c r="E936">
        <v>670.21199999999999</v>
      </c>
      <c r="F936">
        <v>639.14099999999996</v>
      </c>
      <c r="G936">
        <f t="shared" si="37"/>
        <v>0.90924408732146911</v>
      </c>
      <c r="H936">
        <f t="shared" si="38"/>
        <v>0.70545750465044987</v>
      </c>
    </row>
    <row r="937" spans="1:8" x14ac:dyDescent="0.2">
      <c r="A937">
        <v>28495.7</v>
      </c>
      <c r="B937">
        <v>18612.8</v>
      </c>
      <c r="C937">
        <v>32.6723</v>
      </c>
      <c r="D937">
        <v>30.3979</v>
      </c>
      <c r="E937">
        <v>629.779</v>
      </c>
      <c r="F937">
        <v>495.10899999999998</v>
      </c>
      <c r="G937">
        <f t="shared" si="37"/>
        <v>0.90284350304378447</v>
      </c>
      <c r="H937">
        <f t="shared" si="38"/>
        <v>0.71561729738267643</v>
      </c>
    </row>
    <row r="938" spans="1:8" x14ac:dyDescent="0.2">
      <c r="A938">
        <v>31702.799999999999</v>
      </c>
      <c r="B938">
        <v>22328</v>
      </c>
      <c r="C938">
        <v>25.155100000000001</v>
      </c>
      <c r="D938">
        <v>35.405500000000004</v>
      </c>
      <c r="E938">
        <v>645.20500000000004</v>
      </c>
      <c r="F938">
        <v>605.77300000000002</v>
      </c>
      <c r="G938">
        <f t="shared" si="37"/>
        <v>0.95699940892112401</v>
      </c>
      <c r="H938">
        <f t="shared" si="38"/>
        <v>0.57345686903783433</v>
      </c>
    </row>
    <row r="939" spans="1:8" x14ac:dyDescent="0.2">
      <c r="A939">
        <v>41121.699999999997</v>
      </c>
      <c r="B939">
        <v>28207.1</v>
      </c>
      <c r="C939">
        <v>25.086200000000002</v>
      </c>
      <c r="D939">
        <v>24.143599999999999</v>
      </c>
      <c r="E939">
        <v>755.22500000000002</v>
      </c>
      <c r="F939">
        <v>599.28800000000001</v>
      </c>
      <c r="G939">
        <f t="shared" si="37"/>
        <v>0.90599925774828738</v>
      </c>
      <c r="H939">
        <f t="shared" si="38"/>
        <v>0.74021526261024462</v>
      </c>
    </row>
    <row r="940" spans="1:8" x14ac:dyDescent="0.2">
      <c r="A940">
        <v>36683.199999999997</v>
      </c>
      <c r="B940">
        <v>24573.3</v>
      </c>
      <c r="C940">
        <v>31.508500000000002</v>
      </c>
      <c r="D940">
        <v>24.0322</v>
      </c>
      <c r="E940">
        <v>709.73299999999995</v>
      </c>
      <c r="F940">
        <v>564.63400000000001</v>
      </c>
      <c r="G940">
        <f t="shared" si="37"/>
        <v>0.91513826112483909</v>
      </c>
      <c r="H940">
        <f t="shared" si="38"/>
        <v>0.72644073832080547</v>
      </c>
    </row>
    <row r="941" spans="1:8" x14ac:dyDescent="0.2">
      <c r="A941">
        <v>2673.61</v>
      </c>
      <c r="B941">
        <v>34095</v>
      </c>
      <c r="C941">
        <v>149.82499999999999</v>
      </c>
      <c r="D941">
        <v>22.387</v>
      </c>
      <c r="E941">
        <v>1166.24</v>
      </c>
      <c r="F941">
        <v>685.89700000000005</v>
      </c>
      <c r="G941">
        <f t="shared" si="37"/>
        <v>2.4701975597227289E-2</v>
      </c>
      <c r="H941">
        <f t="shared" si="38"/>
        <v>0.68303608579582153</v>
      </c>
    </row>
    <row r="942" spans="1:8" x14ac:dyDescent="0.2">
      <c r="A942">
        <v>33342.5</v>
      </c>
      <c r="B942">
        <v>23805.7</v>
      </c>
      <c r="C942">
        <v>25.877300000000002</v>
      </c>
      <c r="D942">
        <v>25.119499999999999</v>
      </c>
      <c r="E942">
        <v>652.44100000000003</v>
      </c>
      <c r="F942">
        <v>551.67700000000002</v>
      </c>
      <c r="G942">
        <f t="shared" si="37"/>
        <v>0.98429474763497682</v>
      </c>
      <c r="H942">
        <f t="shared" si="38"/>
        <v>0.73719428646573926</v>
      </c>
    </row>
    <row r="943" spans="1:8" x14ac:dyDescent="0.2">
      <c r="A943">
        <v>28652.7</v>
      </c>
      <c r="B943">
        <v>24488.6</v>
      </c>
      <c r="C943">
        <v>29.524999999999999</v>
      </c>
      <c r="D943">
        <v>26.709499999999998</v>
      </c>
      <c r="E943">
        <v>620.28399999999999</v>
      </c>
      <c r="F943">
        <v>559.69600000000003</v>
      </c>
      <c r="G943">
        <f t="shared" si="37"/>
        <v>0.93582338223190042</v>
      </c>
      <c r="H943">
        <f t="shared" si="38"/>
        <v>0.73676724823213002</v>
      </c>
    </row>
    <row r="944" spans="1:8" x14ac:dyDescent="0.2">
      <c r="A944">
        <v>28172.6</v>
      </c>
      <c r="B944">
        <v>21197.200000000001</v>
      </c>
      <c r="C944">
        <v>26.238900000000001</v>
      </c>
      <c r="D944">
        <v>24.0669</v>
      </c>
      <c r="E944">
        <v>614.11699999999996</v>
      </c>
      <c r="F944">
        <v>518.62699999999995</v>
      </c>
      <c r="G944">
        <f t="shared" si="37"/>
        <v>0.93871592785140334</v>
      </c>
      <c r="H944">
        <f t="shared" si="38"/>
        <v>0.74274376164319866</v>
      </c>
    </row>
    <row r="945" spans="1:8" x14ac:dyDescent="0.2">
      <c r="A945">
        <v>23297.4</v>
      </c>
      <c r="B945">
        <v>22209.9</v>
      </c>
      <c r="C945">
        <v>30.8935</v>
      </c>
      <c r="D945">
        <v>29.663599999999999</v>
      </c>
      <c r="E945">
        <v>557.86500000000001</v>
      </c>
      <c r="F945">
        <v>541.327</v>
      </c>
      <c r="G945">
        <f t="shared" si="37"/>
        <v>0.94071641761707014</v>
      </c>
      <c r="H945">
        <f t="shared" si="38"/>
        <v>0.71432851265435793</v>
      </c>
    </row>
    <row r="946" spans="1:8" x14ac:dyDescent="0.2">
      <c r="A946">
        <v>38977.9</v>
      </c>
      <c r="B946">
        <v>25833.200000000001</v>
      </c>
      <c r="C946">
        <v>31.934200000000001</v>
      </c>
      <c r="D946">
        <v>44.617899999999999</v>
      </c>
      <c r="E946">
        <v>709.08500000000004</v>
      </c>
      <c r="F946">
        <v>755.58500000000004</v>
      </c>
      <c r="G946">
        <f t="shared" si="37"/>
        <v>0.97416234275515634</v>
      </c>
      <c r="H946">
        <f t="shared" si="38"/>
        <v>0.42646393666755661</v>
      </c>
    </row>
    <row r="947" spans="1:8" x14ac:dyDescent="0.2">
      <c r="A947">
        <v>28877.7</v>
      </c>
      <c r="B947">
        <v>26941.5</v>
      </c>
      <c r="C947">
        <v>32.903599999999997</v>
      </c>
      <c r="D947">
        <v>27.004300000000001</v>
      </c>
      <c r="E947">
        <v>662.64</v>
      </c>
      <c r="F947">
        <v>598.15099999999995</v>
      </c>
      <c r="G947">
        <f t="shared" si="37"/>
        <v>0.82645041263829688</v>
      </c>
      <c r="H947">
        <f t="shared" si="38"/>
        <v>0.70969356314400156</v>
      </c>
    </row>
    <row r="948" spans="1:8" x14ac:dyDescent="0.2">
      <c r="A948">
        <v>37785.800000000003</v>
      </c>
      <c r="B948">
        <v>23998.9</v>
      </c>
      <c r="C948">
        <v>25.9481</v>
      </c>
      <c r="D948">
        <v>28.782499999999999</v>
      </c>
      <c r="E948">
        <v>706.43899999999996</v>
      </c>
      <c r="F948">
        <v>568.601</v>
      </c>
      <c r="G948">
        <f t="shared" si="37"/>
        <v>0.95145616506891062</v>
      </c>
      <c r="H948">
        <f t="shared" si="38"/>
        <v>0.69959526008295858</v>
      </c>
    </row>
    <row r="949" spans="1:8" x14ac:dyDescent="0.2">
      <c r="A949">
        <v>32897</v>
      </c>
      <c r="B949">
        <v>24397.9</v>
      </c>
      <c r="C949">
        <v>29.299800000000001</v>
      </c>
      <c r="D949">
        <v>27.1313</v>
      </c>
      <c r="E949">
        <v>681.20299999999997</v>
      </c>
      <c r="F949">
        <v>578.05200000000002</v>
      </c>
      <c r="G949">
        <f t="shared" si="37"/>
        <v>0.89086662323715227</v>
      </c>
      <c r="H949">
        <f t="shared" si="38"/>
        <v>0.68815994615585352</v>
      </c>
    </row>
    <row r="950" spans="1:8" x14ac:dyDescent="0.2">
      <c r="A950">
        <v>26596.7</v>
      </c>
      <c r="B950">
        <v>24339</v>
      </c>
      <c r="C950">
        <v>20.0153</v>
      </c>
      <c r="D950">
        <v>22.596900000000002</v>
      </c>
      <c r="E950">
        <v>585.48500000000001</v>
      </c>
      <c r="F950">
        <v>569.12400000000002</v>
      </c>
      <c r="G950">
        <f t="shared" si="37"/>
        <v>0.97500244730316921</v>
      </c>
      <c r="H950">
        <f t="shared" si="38"/>
        <v>0.7082061451350532</v>
      </c>
    </row>
    <row r="951" spans="1:8" x14ac:dyDescent="0.2">
      <c r="A951">
        <v>5928.23</v>
      </c>
      <c r="B951">
        <v>21842.3</v>
      </c>
      <c r="C951">
        <v>137.65</v>
      </c>
      <c r="D951">
        <v>28.4862</v>
      </c>
      <c r="E951">
        <v>829.20600000000002</v>
      </c>
      <c r="F951">
        <v>533.94799999999998</v>
      </c>
      <c r="G951">
        <f t="shared" si="37"/>
        <v>0.10834519864088106</v>
      </c>
      <c r="H951">
        <f t="shared" si="38"/>
        <v>0.72205653028526506</v>
      </c>
    </row>
    <row r="952" spans="1:8" x14ac:dyDescent="0.2">
      <c r="A952">
        <v>33915.199999999997</v>
      </c>
      <c r="B952">
        <v>2780.62</v>
      </c>
      <c r="C952">
        <v>30.222300000000001</v>
      </c>
      <c r="D952">
        <v>94.200100000000006</v>
      </c>
      <c r="E952">
        <v>684.58100000000002</v>
      </c>
      <c r="F952">
        <v>956.3</v>
      </c>
      <c r="G952">
        <f t="shared" si="37"/>
        <v>0.90939842291824002</v>
      </c>
      <c r="H952">
        <f t="shared" si="38"/>
        <v>2.8656562356818766E-2</v>
      </c>
    </row>
    <row r="953" spans="1:8" x14ac:dyDescent="0.2">
      <c r="A953">
        <v>35075.4</v>
      </c>
      <c r="B953">
        <v>30522.1</v>
      </c>
      <c r="C953">
        <v>45.497399999999999</v>
      </c>
      <c r="D953">
        <v>67.639200000000002</v>
      </c>
      <c r="E953">
        <v>724.83</v>
      </c>
      <c r="F953">
        <v>824.81100000000004</v>
      </c>
      <c r="G953">
        <f t="shared" si="37"/>
        <v>0.83895720760963133</v>
      </c>
      <c r="H953">
        <f t="shared" si="38"/>
        <v>0.42284021308822956</v>
      </c>
    </row>
    <row r="954" spans="1:8" x14ac:dyDescent="0.2">
      <c r="A954">
        <v>34933.800000000003</v>
      </c>
      <c r="B954">
        <v>29343.9</v>
      </c>
      <c r="C954">
        <v>41.555500000000002</v>
      </c>
      <c r="D954">
        <v>30.842300000000002</v>
      </c>
      <c r="E954">
        <v>722.375</v>
      </c>
      <c r="F954">
        <v>619.27700000000004</v>
      </c>
      <c r="G954">
        <f t="shared" si="37"/>
        <v>0.84125936479896413</v>
      </c>
      <c r="H954">
        <f t="shared" si="38"/>
        <v>0.72113851859436384</v>
      </c>
    </row>
    <row r="955" spans="1:8" x14ac:dyDescent="0.2">
      <c r="A955">
        <v>29520.5</v>
      </c>
      <c r="B955">
        <v>29176.5</v>
      </c>
      <c r="C955">
        <v>29.3719</v>
      </c>
      <c r="D955">
        <v>26.503599999999999</v>
      </c>
      <c r="E955">
        <v>647.06200000000001</v>
      </c>
      <c r="F955">
        <v>617.46299999999997</v>
      </c>
      <c r="G955">
        <f t="shared" si="37"/>
        <v>0.88601569413712178</v>
      </c>
      <c r="H955">
        <f t="shared" si="38"/>
        <v>0.72124377230059178</v>
      </c>
    </row>
    <row r="956" spans="1:8" x14ac:dyDescent="0.2">
      <c r="A956">
        <v>45276</v>
      </c>
      <c r="B956">
        <v>2662.23</v>
      </c>
      <c r="C956">
        <v>65.053600000000003</v>
      </c>
      <c r="D956">
        <v>57.152099999999997</v>
      </c>
      <c r="E956">
        <v>836.096</v>
      </c>
      <c r="F956">
        <v>789.41700000000003</v>
      </c>
      <c r="G956">
        <f t="shared" si="37"/>
        <v>0.81388914643169452</v>
      </c>
      <c r="H956">
        <f t="shared" si="38"/>
        <v>4.0262745357305188E-2</v>
      </c>
    </row>
    <row r="957" spans="1:8" x14ac:dyDescent="0.2">
      <c r="A957">
        <v>25007.599999999999</v>
      </c>
      <c r="B957">
        <v>21829.1</v>
      </c>
      <c r="C957">
        <v>32.997700000000002</v>
      </c>
      <c r="D957">
        <v>35.540399999999998</v>
      </c>
      <c r="E957">
        <v>578.221</v>
      </c>
      <c r="F957">
        <v>575.46100000000001</v>
      </c>
      <c r="G957">
        <f t="shared" si="37"/>
        <v>0.93992627549927954</v>
      </c>
      <c r="H957">
        <f t="shared" si="38"/>
        <v>0.62126201200789388</v>
      </c>
    </row>
    <row r="958" spans="1:8" x14ac:dyDescent="0.2">
      <c r="A958">
        <v>28570</v>
      </c>
      <c r="B958">
        <v>20777.3</v>
      </c>
      <c r="C958">
        <v>34.72</v>
      </c>
      <c r="D958">
        <v>27.365100000000002</v>
      </c>
      <c r="E958">
        <v>624.57000000000005</v>
      </c>
      <c r="F958">
        <v>523.43499999999995</v>
      </c>
      <c r="G958">
        <f t="shared" si="37"/>
        <v>0.92035949633230763</v>
      </c>
      <c r="H958">
        <f t="shared" si="38"/>
        <v>0.71471739711598703</v>
      </c>
    </row>
    <row r="959" spans="1:8" x14ac:dyDescent="0.2">
      <c r="A959">
        <v>23409.3</v>
      </c>
      <c r="B959">
        <v>17262.8</v>
      </c>
      <c r="C959">
        <v>39.779299999999999</v>
      </c>
      <c r="D959">
        <v>28.690799999999999</v>
      </c>
      <c r="E959">
        <v>568.87199999999996</v>
      </c>
      <c r="F959">
        <v>475.94099999999997</v>
      </c>
      <c r="G959">
        <f t="shared" si="37"/>
        <v>0.90901030801202543</v>
      </c>
      <c r="H959">
        <f t="shared" si="38"/>
        <v>0.71825021067369943</v>
      </c>
    </row>
    <row r="960" spans="1:8" x14ac:dyDescent="0.2">
      <c r="A960">
        <v>46234.400000000001</v>
      </c>
      <c r="B960">
        <v>29457.5</v>
      </c>
      <c r="C960">
        <v>36.909599999999998</v>
      </c>
      <c r="D960">
        <v>24.818200000000001</v>
      </c>
      <c r="E960">
        <v>787.38400000000001</v>
      </c>
      <c r="F960">
        <v>614.24400000000003</v>
      </c>
      <c r="G960">
        <f t="shared" si="37"/>
        <v>0.93713369251628387</v>
      </c>
      <c r="H960">
        <f t="shared" si="38"/>
        <v>0.73584238702738958</v>
      </c>
    </row>
    <row r="961" spans="1:8" x14ac:dyDescent="0.2">
      <c r="A961">
        <v>39756.1</v>
      </c>
      <c r="B961">
        <v>22753.4</v>
      </c>
      <c r="C961">
        <v>23.530100000000001</v>
      </c>
      <c r="D961">
        <v>36.1479</v>
      </c>
      <c r="E961">
        <v>732.71400000000006</v>
      </c>
      <c r="F961">
        <v>576.48</v>
      </c>
      <c r="G961">
        <f t="shared" si="37"/>
        <v>0.93055981059555826</v>
      </c>
      <c r="H961">
        <f t="shared" si="38"/>
        <v>0.64528054685743297</v>
      </c>
    </row>
    <row r="962" spans="1:8" x14ac:dyDescent="0.2">
      <c r="A962">
        <v>32496.9</v>
      </c>
      <c r="B962">
        <v>30453.8</v>
      </c>
      <c r="C962">
        <v>32.365499999999997</v>
      </c>
      <c r="D962">
        <v>25.853400000000001</v>
      </c>
      <c r="E962">
        <v>685.59699999999998</v>
      </c>
      <c r="F962">
        <v>625.71799999999996</v>
      </c>
      <c r="G962">
        <f t="shared" si="37"/>
        <v>0.86878760072358518</v>
      </c>
      <c r="H962">
        <f t="shared" si="38"/>
        <v>0.73308604921185261</v>
      </c>
    </row>
    <row r="963" spans="1:8" x14ac:dyDescent="0.2">
      <c r="A963">
        <v>24136.9</v>
      </c>
      <c r="B963">
        <v>25210</v>
      </c>
      <c r="C963">
        <v>35.027000000000001</v>
      </c>
      <c r="D963">
        <v>29.1099</v>
      </c>
      <c r="E963">
        <v>582.11500000000001</v>
      </c>
      <c r="F963">
        <v>587.65899999999999</v>
      </c>
      <c r="G963">
        <f t="shared" ref="G963:G1026" si="39" xml:space="preserve"> 3.14159*4*A963/(E963*E963)</f>
        <v>0.89510381387125593</v>
      </c>
      <c r="H963">
        <f t="shared" ref="H963:H1026" si="40" xml:space="preserve"> 3*3.14159*B963/(F963*F963)</f>
        <v>0.68800694586534394</v>
      </c>
    </row>
    <row r="964" spans="1:8" x14ac:dyDescent="0.2">
      <c r="A964">
        <v>30047.7</v>
      </c>
      <c r="B964">
        <v>17305.8</v>
      </c>
      <c r="C964">
        <v>28.7746</v>
      </c>
      <c r="D964">
        <v>30.141300000000001</v>
      </c>
      <c r="E964">
        <v>633.70600000000002</v>
      </c>
      <c r="F964">
        <v>472.38799999999998</v>
      </c>
      <c r="G964">
        <f t="shared" si="39"/>
        <v>0.94025379193699565</v>
      </c>
      <c r="H964">
        <f t="shared" si="40"/>
        <v>0.73091138616974782</v>
      </c>
    </row>
    <row r="965" spans="1:8" x14ac:dyDescent="0.2">
      <c r="A965">
        <v>22388.3</v>
      </c>
      <c r="B965">
        <v>21741.5</v>
      </c>
      <c r="C965">
        <v>27.617999999999999</v>
      </c>
      <c r="D965">
        <v>33.230400000000003</v>
      </c>
      <c r="E965">
        <v>544.024</v>
      </c>
      <c r="F965">
        <v>549.29499999999996</v>
      </c>
      <c r="G965">
        <f t="shared" si="39"/>
        <v>0.95059274695424045</v>
      </c>
      <c r="H965">
        <f t="shared" si="40"/>
        <v>0.6791238345360624</v>
      </c>
    </row>
    <row r="966" spans="1:8" x14ac:dyDescent="0.2">
      <c r="A966">
        <v>29390.1</v>
      </c>
      <c r="B966">
        <v>23138.7</v>
      </c>
      <c r="C966">
        <v>29.434100000000001</v>
      </c>
      <c r="D966">
        <v>31.045000000000002</v>
      </c>
      <c r="E966">
        <v>626.91099999999994</v>
      </c>
      <c r="F966">
        <v>557.94799999999998</v>
      </c>
      <c r="G966">
        <f t="shared" si="39"/>
        <v>0.93972067198754217</v>
      </c>
      <c r="H966">
        <f t="shared" si="40"/>
        <v>0.70052278504595322</v>
      </c>
    </row>
    <row r="967" spans="1:8" x14ac:dyDescent="0.2">
      <c r="A967">
        <v>47799.9</v>
      </c>
      <c r="B967">
        <v>17491.7</v>
      </c>
      <c r="C967">
        <v>38.294499999999999</v>
      </c>
      <c r="D967">
        <v>29.208600000000001</v>
      </c>
      <c r="E967">
        <v>872.10599999999999</v>
      </c>
      <c r="F967">
        <v>479.137</v>
      </c>
      <c r="G967">
        <f t="shared" si="39"/>
        <v>0.78976509678707996</v>
      </c>
      <c r="H967">
        <f t="shared" si="40"/>
        <v>0.71809741292085294</v>
      </c>
    </row>
    <row r="968" spans="1:8" x14ac:dyDescent="0.2">
      <c r="A968">
        <v>28705.7</v>
      </c>
      <c r="B968">
        <v>18318</v>
      </c>
      <c r="C968">
        <v>34.3078</v>
      </c>
      <c r="D968">
        <v>40.944299999999998</v>
      </c>
      <c r="E968">
        <v>772.94799999999998</v>
      </c>
      <c r="F968">
        <v>500.78300000000002</v>
      </c>
      <c r="G968">
        <f t="shared" si="39"/>
        <v>0.60377772044183087</v>
      </c>
      <c r="H968">
        <f t="shared" si="40"/>
        <v>0.68841394672279133</v>
      </c>
    </row>
    <row r="969" spans="1:8" x14ac:dyDescent="0.2">
      <c r="A969">
        <v>46144.3</v>
      </c>
      <c r="B969">
        <v>24965.3</v>
      </c>
      <c r="C969">
        <v>42.544800000000002</v>
      </c>
      <c r="D969">
        <v>39.518900000000002</v>
      </c>
      <c r="E969">
        <v>822.46199999999999</v>
      </c>
      <c r="F969">
        <v>637.38599999999997</v>
      </c>
      <c r="G969">
        <f t="shared" si="39"/>
        <v>0.85722706889144129</v>
      </c>
      <c r="H969">
        <f t="shared" si="40"/>
        <v>0.57916526782215116</v>
      </c>
    </row>
    <row r="970" spans="1:8" x14ac:dyDescent="0.2">
      <c r="A970">
        <v>33587.4</v>
      </c>
      <c r="B970">
        <v>1971.67</v>
      </c>
      <c r="C970">
        <v>31.2834</v>
      </c>
      <c r="D970">
        <v>49.030799999999999</v>
      </c>
      <c r="E970">
        <v>677.39200000000005</v>
      </c>
      <c r="F970">
        <v>553.08199999999999</v>
      </c>
      <c r="G970">
        <f t="shared" si="39"/>
        <v>0.91982616030924902</v>
      </c>
      <c r="H970">
        <f t="shared" si="40"/>
        <v>6.0747154519646039E-2</v>
      </c>
    </row>
    <row r="971" spans="1:8" x14ac:dyDescent="0.2">
      <c r="A971">
        <v>41905.199999999997</v>
      </c>
      <c r="B971">
        <v>22997.5</v>
      </c>
      <c r="C971">
        <v>28.244499999999999</v>
      </c>
      <c r="D971">
        <v>31.010400000000001</v>
      </c>
      <c r="E971">
        <v>747.51599999999996</v>
      </c>
      <c r="F971">
        <v>556.24</v>
      </c>
      <c r="G971">
        <f t="shared" si="39"/>
        <v>0.9424024994135799</v>
      </c>
      <c r="H971">
        <f t="shared" si="40"/>
        <v>0.70053034969956274</v>
      </c>
    </row>
    <row r="972" spans="1:8" x14ac:dyDescent="0.2">
      <c r="A972">
        <v>39309.199999999997</v>
      </c>
      <c r="B972">
        <v>17458.400000000001</v>
      </c>
      <c r="C972">
        <v>30.2638</v>
      </c>
      <c r="D972">
        <v>28.907900000000001</v>
      </c>
      <c r="E972">
        <v>725.31700000000001</v>
      </c>
      <c r="F972">
        <v>478.29</v>
      </c>
      <c r="G972">
        <f t="shared" si="39"/>
        <v>0.93896194111851283</v>
      </c>
      <c r="H972">
        <f t="shared" si="40"/>
        <v>0.71927107965187709</v>
      </c>
    </row>
    <row r="973" spans="1:8" x14ac:dyDescent="0.2">
      <c r="A973">
        <v>36806.199999999997</v>
      </c>
      <c r="B973">
        <v>18297.8</v>
      </c>
      <c r="C973">
        <v>38.099800000000002</v>
      </c>
      <c r="D973">
        <v>41.282200000000003</v>
      </c>
      <c r="E973">
        <v>781.66300000000001</v>
      </c>
      <c r="F973">
        <v>496.06</v>
      </c>
      <c r="G973">
        <f t="shared" si="39"/>
        <v>0.75699213733721304</v>
      </c>
      <c r="H973">
        <f t="shared" si="40"/>
        <v>0.70081149877516691</v>
      </c>
    </row>
    <row r="974" spans="1:8" x14ac:dyDescent="0.2">
      <c r="A974">
        <v>36363.4</v>
      </c>
      <c r="B974">
        <v>29091.1</v>
      </c>
      <c r="C974">
        <v>34.904200000000003</v>
      </c>
      <c r="D974">
        <v>24.675599999999999</v>
      </c>
      <c r="E974">
        <v>704.71900000000005</v>
      </c>
      <c r="F974">
        <v>616.26400000000001</v>
      </c>
      <c r="G974">
        <f t="shared" si="39"/>
        <v>0.92011480560926562</v>
      </c>
      <c r="H974">
        <f t="shared" si="40"/>
        <v>0.72193368597048213</v>
      </c>
    </row>
    <row r="975" spans="1:8" x14ac:dyDescent="0.2">
      <c r="A975">
        <v>43080.6</v>
      </c>
      <c r="B975">
        <v>16190.1</v>
      </c>
      <c r="C975">
        <v>28.026800000000001</v>
      </c>
      <c r="D975">
        <v>26.912299999999998</v>
      </c>
      <c r="E975">
        <v>778.34900000000005</v>
      </c>
      <c r="F975">
        <v>463.24599999999998</v>
      </c>
      <c r="G975">
        <f t="shared" si="39"/>
        <v>0.89359863534714135</v>
      </c>
      <c r="H975">
        <f t="shared" si="40"/>
        <v>0.71104475272508605</v>
      </c>
    </row>
    <row r="976" spans="1:8" x14ac:dyDescent="0.2">
      <c r="A976">
        <v>30259.1</v>
      </c>
      <c r="B976">
        <v>22667.200000000001</v>
      </c>
      <c r="C976">
        <v>25.694800000000001</v>
      </c>
      <c r="D976">
        <v>39.0456</v>
      </c>
      <c r="E976">
        <v>629.68700000000001</v>
      </c>
      <c r="F976">
        <v>573.74599999999998</v>
      </c>
      <c r="G976">
        <f t="shared" si="39"/>
        <v>0.95899435151583068</v>
      </c>
      <c r="H976">
        <f t="shared" si="40"/>
        <v>0.64897698518758773</v>
      </c>
    </row>
    <row r="977" spans="1:8" x14ac:dyDescent="0.2">
      <c r="A977">
        <v>35874.800000000003</v>
      </c>
      <c r="B977">
        <v>2373.04</v>
      </c>
      <c r="C977">
        <v>50.5471</v>
      </c>
      <c r="D977">
        <v>158.03299999999999</v>
      </c>
      <c r="E977">
        <v>723.25599999999997</v>
      </c>
      <c r="F977">
        <v>1096.31</v>
      </c>
      <c r="G977">
        <f t="shared" si="39"/>
        <v>0.86181668014705892</v>
      </c>
      <c r="H977">
        <f t="shared" si="40"/>
        <v>1.860840151274764E-2</v>
      </c>
    </row>
    <row r="978" spans="1:8" x14ac:dyDescent="0.2">
      <c r="A978">
        <v>32081.8</v>
      </c>
      <c r="B978">
        <v>24850.7</v>
      </c>
      <c r="C978">
        <v>27.92</v>
      </c>
      <c r="D978">
        <v>38.172899999999998</v>
      </c>
      <c r="E978">
        <v>643.92899999999997</v>
      </c>
      <c r="F978">
        <v>599.96600000000001</v>
      </c>
      <c r="G978">
        <f t="shared" si="39"/>
        <v>0.97228202179954448</v>
      </c>
      <c r="H978">
        <f t="shared" si="40"/>
        <v>0.65066299482506218</v>
      </c>
    </row>
    <row r="979" spans="1:8" x14ac:dyDescent="0.2">
      <c r="A979">
        <v>40740.5</v>
      </c>
      <c r="B979">
        <v>17042.400000000001</v>
      </c>
      <c r="C979">
        <v>39.0137</v>
      </c>
      <c r="D979">
        <v>26.402999999999999</v>
      </c>
      <c r="E979">
        <v>744.5</v>
      </c>
      <c r="F979">
        <v>468.92399999999998</v>
      </c>
      <c r="G979">
        <f t="shared" si="39"/>
        <v>0.92364790118356188</v>
      </c>
      <c r="H979">
        <f t="shared" si="40"/>
        <v>0.73046025922695978</v>
      </c>
    </row>
    <row r="980" spans="1:8" x14ac:dyDescent="0.2">
      <c r="A980">
        <v>34380.400000000001</v>
      </c>
      <c r="B980">
        <v>21444.3</v>
      </c>
      <c r="C980">
        <v>32.1023</v>
      </c>
      <c r="D980">
        <v>35.987299999999998</v>
      </c>
      <c r="E980">
        <v>682.61400000000003</v>
      </c>
      <c r="F980">
        <v>546.16600000000005</v>
      </c>
      <c r="G980">
        <f t="shared" si="39"/>
        <v>0.92719277773979747</v>
      </c>
      <c r="H980">
        <f t="shared" si="40"/>
        <v>0.67753746216216693</v>
      </c>
    </row>
    <row r="981" spans="1:8" x14ac:dyDescent="0.2">
      <c r="A981">
        <v>25249.599999999999</v>
      </c>
      <c r="B981">
        <v>39514.1</v>
      </c>
      <c r="C981">
        <v>30.003399999999999</v>
      </c>
      <c r="D981">
        <v>38.441400000000002</v>
      </c>
      <c r="E981">
        <v>573.452</v>
      </c>
      <c r="F981">
        <v>753.27099999999996</v>
      </c>
      <c r="G981">
        <f t="shared" si="39"/>
        <v>0.96487233895307034</v>
      </c>
      <c r="H981">
        <f t="shared" si="40"/>
        <v>0.65632713393934283</v>
      </c>
    </row>
    <row r="982" spans="1:8" x14ac:dyDescent="0.2">
      <c r="A982">
        <v>38946.6</v>
      </c>
      <c r="B982">
        <v>45756.2</v>
      </c>
      <c r="C982">
        <v>37.710099999999997</v>
      </c>
      <c r="D982">
        <v>48.501800000000003</v>
      </c>
      <c r="E982">
        <v>721.05700000000002</v>
      </c>
      <c r="F982">
        <v>817.41800000000001</v>
      </c>
      <c r="G982">
        <f t="shared" si="39"/>
        <v>0.94132556301697357</v>
      </c>
      <c r="H982">
        <f t="shared" si="40"/>
        <v>0.64540498638284627</v>
      </c>
    </row>
    <row r="983" spans="1:8" x14ac:dyDescent="0.2">
      <c r="A983">
        <v>26740.5</v>
      </c>
      <c r="B983">
        <v>22088.9</v>
      </c>
      <c r="C983">
        <v>30.4039</v>
      </c>
      <c r="D983">
        <v>25.7486</v>
      </c>
      <c r="E983">
        <v>617.47299999999996</v>
      </c>
      <c r="F983">
        <v>532.43899999999996</v>
      </c>
      <c r="G983">
        <f t="shared" si="39"/>
        <v>0.88133917865866651</v>
      </c>
      <c r="H983">
        <f t="shared" si="40"/>
        <v>0.73435343636920225</v>
      </c>
    </row>
    <row r="984" spans="1:8" x14ac:dyDescent="0.2">
      <c r="A984">
        <v>26692.1</v>
      </c>
      <c r="B984">
        <v>15528.1</v>
      </c>
      <c r="C984">
        <v>25.4023</v>
      </c>
      <c r="D984">
        <v>31.1831</v>
      </c>
      <c r="E984">
        <v>593.88800000000003</v>
      </c>
      <c r="F984">
        <v>449.95299999999997</v>
      </c>
      <c r="G984">
        <f t="shared" si="39"/>
        <v>0.95100574444477526</v>
      </c>
      <c r="H984">
        <f t="shared" si="40"/>
        <v>0.72286097016907791</v>
      </c>
    </row>
    <row r="985" spans="1:8" x14ac:dyDescent="0.2">
      <c r="A985">
        <v>33445.4</v>
      </c>
      <c r="B985">
        <v>29786.799999999999</v>
      </c>
      <c r="C985">
        <v>34.343800000000002</v>
      </c>
      <c r="D985">
        <v>46.715299999999999</v>
      </c>
      <c r="E985">
        <v>685.17</v>
      </c>
      <c r="F985">
        <v>663.28499999999997</v>
      </c>
      <c r="G985">
        <f t="shared" si="39"/>
        <v>0.89526006670882341</v>
      </c>
      <c r="H985">
        <f t="shared" si="40"/>
        <v>0.6381081008289603</v>
      </c>
    </row>
    <row r="986" spans="1:8" x14ac:dyDescent="0.2">
      <c r="A986">
        <v>7352.85</v>
      </c>
      <c r="B986">
        <v>13241.9</v>
      </c>
      <c r="C986">
        <v>57.570799999999998</v>
      </c>
      <c r="D986">
        <v>181.79900000000001</v>
      </c>
      <c r="E986">
        <v>1393.82</v>
      </c>
      <c r="F986">
        <v>1240.78</v>
      </c>
      <c r="G986">
        <f t="shared" si="39"/>
        <v>4.7561092241781872E-2</v>
      </c>
      <c r="H986">
        <f t="shared" si="40"/>
        <v>8.1064646910954899E-2</v>
      </c>
    </row>
    <row r="987" spans="1:8" x14ac:dyDescent="0.2">
      <c r="A987">
        <v>34308.400000000001</v>
      </c>
      <c r="B987">
        <v>19686.099999999999</v>
      </c>
      <c r="C987">
        <v>44.420499999999997</v>
      </c>
      <c r="D987">
        <v>25.774999999999999</v>
      </c>
      <c r="E987">
        <v>674.13099999999997</v>
      </c>
      <c r="F987">
        <v>517.745</v>
      </c>
      <c r="G987">
        <f t="shared" si="39"/>
        <v>0.94868353823444795</v>
      </c>
      <c r="H987">
        <f t="shared" si="40"/>
        <v>0.69214744563400921</v>
      </c>
    </row>
    <row r="988" spans="1:8" x14ac:dyDescent="0.2">
      <c r="A988">
        <v>42689.7</v>
      </c>
      <c r="B988">
        <v>19171.3</v>
      </c>
      <c r="C988">
        <v>29.4665</v>
      </c>
      <c r="D988">
        <v>25.1785</v>
      </c>
      <c r="E988">
        <v>749.95899999999995</v>
      </c>
      <c r="F988">
        <v>501.41300000000001</v>
      </c>
      <c r="G988">
        <f t="shared" si="39"/>
        <v>0.95380052554841355</v>
      </c>
      <c r="H988">
        <f t="shared" si="40"/>
        <v>0.71867269481441431</v>
      </c>
    </row>
    <row r="989" spans="1:8" x14ac:dyDescent="0.2">
      <c r="A989">
        <v>29462.400000000001</v>
      </c>
      <c r="B989">
        <v>31534.3</v>
      </c>
      <c r="C989">
        <v>27.7837</v>
      </c>
      <c r="D989">
        <v>30.789899999999999</v>
      </c>
      <c r="E989">
        <v>622.49199999999996</v>
      </c>
      <c r="F989">
        <v>651.91399999999999</v>
      </c>
      <c r="G989">
        <f t="shared" si="39"/>
        <v>0.95545463106976058</v>
      </c>
      <c r="H989">
        <f t="shared" si="40"/>
        <v>0.69931579921583331</v>
      </c>
    </row>
    <row r="990" spans="1:8" x14ac:dyDescent="0.2">
      <c r="A990">
        <v>34095.599999999999</v>
      </c>
      <c r="B990">
        <v>23218</v>
      </c>
      <c r="C990">
        <v>35.634500000000003</v>
      </c>
      <c r="D990">
        <v>29.679300000000001</v>
      </c>
      <c r="E990">
        <v>688.83100000000002</v>
      </c>
      <c r="F990">
        <v>579.99</v>
      </c>
      <c r="G990">
        <f t="shared" si="39"/>
        <v>0.90298901483920968</v>
      </c>
      <c r="H990">
        <f t="shared" si="40"/>
        <v>0.65051086718492335</v>
      </c>
    </row>
    <row r="991" spans="1:8" x14ac:dyDescent="0.2">
      <c r="A991">
        <v>31959.1</v>
      </c>
      <c r="B991">
        <v>22402.400000000001</v>
      </c>
      <c r="C991">
        <v>30.400700000000001</v>
      </c>
      <c r="D991">
        <v>30.525600000000001</v>
      </c>
      <c r="E991">
        <v>654.04700000000003</v>
      </c>
      <c r="F991">
        <v>557.03300000000002</v>
      </c>
      <c r="G991">
        <f t="shared" si="39"/>
        <v>0.93882819066922651</v>
      </c>
      <c r="H991">
        <f t="shared" si="40"/>
        <v>0.68046134423331217</v>
      </c>
    </row>
    <row r="992" spans="1:8" x14ac:dyDescent="0.2">
      <c r="A992">
        <v>23268.1</v>
      </c>
      <c r="B992">
        <v>19964.2</v>
      </c>
      <c r="C992">
        <v>45.172800000000002</v>
      </c>
      <c r="D992">
        <v>29.906500000000001</v>
      </c>
      <c r="E992">
        <v>587.59</v>
      </c>
      <c r="F992">
        <v>521.78099999999995</v>
      </c>
      <c r="G992">
        <f t="shared" si="39"/>
        <v>0.84687951253331051</v>
      </c>
      <c r="H992">
        <f t="shared" si="40"/>
        <v>0.69110836724506786</v>
      </c>
    </row>
    <row r="993" spans="1:8" x14ac:dyDescent="0.2">
      <c r="A993">
        <v>40969.1</v>
      </c>
      <c r="B993">
        <v>18372.900000000001</v>
      </c>
      <c r="C993">
        <v>61.712800000000001</v>
      </c>
      <c r="D993">
        <v>25.743300000000001</v>
      </c>
      <c r="E993">
        <v>878.18799999999999</v>
      </c>
      <c r="F993">
        <v>487.10199999999998</v>
      </c>
      <c r="G993">
        <f t="shared" si="39"/>
        <v>0.66756094992300996</v>
      </c>
      <c r="H993">
        <f t="shared" si="40"/>
        <v>0.7298080447716403</v>
      </c>
    </row>
    <row r="994" spans="1:8" x14ac:dyDescent="0.2">
      <c r="A994">
        <v>30166.6</v>
      </c>
      <c r="B994">
        <v>20931.400000000001</v>
      </c>
      <c r="C994">
        <v>33.947899999999997</v>
      </c>
      <c r="D994">
        <v>25.981100000000001</v>
      </c>
      <c r="E994">
        <v>675.34100000000001</v>
      </c>
      <c r="F994">
        <v>526.19100000000003</v>
      </c>
      <c r="G994">
        <f t="shared" si="39"/>
        <v>0.83116955834422779</v>
      </c>
      <c r="H994">
        <f t="shared" si="40"/>
        <v>0.71249563248355696</v>
      </c>
    </row>
    <row r="995" spans="1:8" x14ac:dyDescent="0.2">
      <c r="A995">
        <v>38973.300000000003</v>
      </c>
      <c r="B995">
        <v>14685.2</v>
      </c>
      <c r="C995">
        <v>37.427599999999998</v>
      </c>
      <c r="D995">
        <v>32.951000000000001</v>
      </c>
      <c r="E995">
        <v>753.10299999999995</v>
      </c>
      <c r="F995">
        <v>441.96699999999998</v>
      </c>
      <c r="G995">
        <f t="shared" si="39"/>
        <v>0.86351109579010943</v>
      </c>
      <c r="H995">
        <f t="shared" si="40"/>
        <v>0.70855071289380234</v>
      </c>
    </row>
    <row r="996" spans="1:8" x14ac:dyDescent="0.2">
      <c r="A996">
        <v>21288.5</v>
      </c>
      <c r="B996">
        <v>23006.1</v>
      </c>
      <c r="C996">
        <v>34.3005</v>
      </c>
      <c r="D996">
        <v>24.944199999999999</v>
      </c>
      <c r="E996">
        <v>532.65800000000002</v>
      </c>
      <c r="F996">
        <v>546.82500000000005</v>
      </c>
      <c r="G996">
        <f t="shared" si="39"/>
        <v>0.9428826642190713</v>
      </c>
      <c r="H996">
        <f t="shared" si="40"/>
        <v>0.72513194924456426</v>
      </c>
    </row>
    <row r="997" spans="1:8" x14ac:dyDescent="0.2">
      <c r="A997">
        <v>38153</v>
      </c>
      <c r="B997">
        <v>15430.6</v>
      </c>
      <c r="C997">
        <v>42.262300000000003</v>
      </c>
      <c r="D997">
        <v>34.920999999999999</v>
      </c>
      <c r="E997">
        <v>818.327</v>
      </c>
      <c r="F997">
        <v>449.26</v>
      </c>
      <c r="G997">
        <f t="shared" si="39"/>
        <v>0.71595286044174222</v>
      </c>
      <c r="H997">
        <f t="shared" si="40"/>
        <v>0.72053995557894257</v>
      </c>
    </row>
    <row r="998" spans="1:8" x14ac:dyDescent="0.2">
      <c r="A998">
        <v>42211.5</v>
      </c>
      <c r="B998">
        <v>16511.900000000001</v>
      </c>
      <c r="C998">
        <v>36.339199999999998</v>
      </c>
      <c r="D998">
        <v>51.527799999999999</v>
      </c>
      <c r="E998">
        <v>825.64200000000005</v>
      </c>
      <c r="F998">
        <v>503.68700000000001</v>
      </c>
      <c r="G998">
        <f t="shared" si="39"/>
        <v>0.77813818569600712</v>
      </c>
      <c r="H998">
        <f t="shared" si="40"/>
        <v>0.61340360827856588</v>
      </c>
    </row>
    <row r="999" spans="1:8" x14ac:dyDescent="0.2">
      <c r="A999">
        <v>22580.2</v>
      </c>
      <c r="B999">
        <v>16474.5</v>
      </c>
      <c r="C999">
        <v>32.195999999999998</v>
      </c>
      <c r="D999">
        <v>28.272200000000002</v>
      </c>
      <c r="E999">
        <v>554.38599999999997</v>
      </c>
      <c r="F999">
        <v>461.23399999999998</v>
      </c>
      <c r="G999">
        <f t="shared" si="39"/>
        <v>0.92323608908316246</v>
      </c>
      <c r="H999">
        <f t="shared" si="40"/>
        <v>0.72986136556299641</v>
      </c>
    </row>
    <row r="1000" spans="1:8" x14ac:dyDescent="0.2">
      <c r="A1000">
        <v>40833.599999999999</v>
      </c>
      <c r="B1000">
        <v>20435.5</v>
      </c>
      <c r="C1000">
        <v>33.395299999999999</v>
      </c>
      <c r="D1000">
        <v>25.999199999999998</v>
      </c>
      <c r="E1000">
        <v>741.7</v>
      </c>
      <c r="F1000">
        <v>523.35500000000002</v>
      </c>
      <c r="G1000">
        <f t="shared" si="39"/>
        <v>0.93276149396724028</v>
      </c>
      <c r="H1000">
        <f t="shared" si="40"/>
        <v>0.70317475965582399</v>
      </c>
    </row>
    <row r="1001" spans="1:8" x14ac:dyDescent="0.2">
      <c r="A1001">
        <v>37887.699999999997</v>
      </c>
      <c r="B1001">
        <v>29919</v>
      </c>
      <c r="C1001">
        <v>37.341099999999997</v>
      </c>
      <c r="D1001">
        <v>43.647199999999998</v>
      </c>
      <c r="E1001">
        <v>737.65800000000002</v>
      </c>
      <c r="F1001">
        <v>661.77300000000002</v>
      </c>
      <c r="G1001">
        <f t="shared" si="39"/>
        <v>0.87497899146234137</v>
      </c>
      <c r="H1001">
        <f t="shared" si="40"/>
        <v>0.64387230626273606</v>
      </c>
    </row>
    <row r="1002" spans="1:8" x14ac:dyDescent="0.2">
      <c r="A1002">
        <v>37122.800000000003</v>
      </c>
      <c r="B1002">
        <v>11952.9</v>
      </c>
      <c r="C1002">
        <v>36.084400000000002</v>
      </c>
      <c r="D1002">
        <v>214.94900000000001</v>
      </c>
      <c r="E1002">
        <v>806.48599999999999</v>
      </c>
      <c r="F1002">
        <v>1129.1400000000001</v>
      </c>
      <c r="G1002">
        <f t="shared" si="39"/>
        <v>0.71722687953437414</v>
      </c>
      <c r="H1002">
        <f t="shared" si="40"/>
        <v>8.8358525815497913E-2</v>
      </c>
    </row>
    <row r="1003" spans="1:8" x14ac:dyDescent="0.2">
      <c r="A1003">
        <v>25536.9</v>
      </c>
      <c r="B1003">
        <v>20440.900000000001</v>
      </c>
      <c r="C1003">
        <v>34.926299999999998</v>
      </c>
      <c r="D1003">
        <v>28.257400000000001</v>
      </c>
      <c r="E1003">
        <v>600.14499999999998</v>
      </c>
      <c r="F1003">
        <v>516.50300000000004</v>
      </c>
      <c r="G1003">
        <f t="shared" si="39"/>
        <v>0.89097452884233885</v>
      </c>
      <c r="H1003">
        <f t="shared" si="40"/>
        <v>0.72214611210760948</v>
      </c>
    </row>
    <row r="1004" spans="1:8" x14ac:dyDescent="0.2">
      <c r="A1004">
        <v>32705.4</v>
      </c>
      <c r="B1004">
        <v>22080.5</v>
      </c>
      <c r="C1004">
        <v>49.590899999999998</v>
      </c>
      <c r="D1004">
        <v>30.5047</v>
      </c>
      <c r="E1004">
        <v>733.69200000000001</v>
      </c>
      <c r="F1004">
        <v>532.90700000000004</v>
      </c>
      <c r="G1004">
        <f t="shared" si="39"/>
        <v>0.76348655751894001</v>
      </c>
      <c r="H1004">
        <f t="shared" si="40"/>
        <v>0.73278541065363423</v>
      </c>
    </row>
    <row r="1005" spans="1:8" x14ac:dyDescent="0.2">
      <c r="A1005">
        <v>24070.5</v>
      </c>
      <c r="B1005">
        <v>19058.2</v>
      </c>
      <c r="C1005">
        <v>29.442299999999999</v>
      </c>
      <c r="D1005">
        <v>27.846800000000002</v>
      </c>
      <c r="E1005">
        <v>559.596</v>
      </c>
      <c r="F1005">
        <v>500.06</v>
      </c>
      <c r="G1005">
        <f t="shared" si="39"/>
        <v>0.96592944668653125</v>
      </c>
      <c r="H1005">
        <f t="shared" si="40"/>
        <v>0.71830420310367449</v>
      </c>
    </row>
    <row r="1006" spans="1:8" x14ac:dyDescent="0.2">
      <c r="A1006">
        <v>27393.4</v>
      </c>
      <c r="B1006">
        <v>23264.6</v>
      </c>
      <c r="C1006">
        <v>22.4998</v>
      </c>
      <c r="D1006">
        <v>33.422499999999999</v>
      </c>
      <c r="E1006">
        <v>596.32500000000005</v>
      </c>
      <c r="F1006">
        <v>583.90899999999999</v>
      </c>
      <c r="G1006">
        <f t="shared" si="39"/>
        <v>0.96803130615650257</v>
      </c>
      <c r="H1006">
        <f t="shared" si="40"/>
        <v>0.64309630159335485</v>
      </c>
    </row>
    <row r="1007" spans="1:8" x14ac:dyDescent="0.2">
      <c r="A1007">
        <v>24792.1</v>
      </c>
      <c r="B1007">
        <v>19722</v>
      </c>
      <c r="C1007">
        <v>38.356099999999998</v>
      </c>
      <c r="D1007">
        <v>31.406500000000001</v>
      </c>
      <c r="E1007">
        <v>592.27599999999995</v>
      </c>
      <c r="F1007">
        <v>518.93499999999995</v>
      </c>
      <c r="G1007">
        <f t="shared" si="39"/>
        <v>0.88812591525243811</v>
      </c>
      <c r="H1007">
        <f t="shared" si="40"/>
        <v>0.69023311114739783</v>
      </c>
    </row>
    <row r="1008" spans="1:8" x14ac:dyDescent="0.2">
      <c r="A1008">
        <v>32645.599999999999</v>
      </c>
      <c r="B1008">
        <v>18453</v>
      </c>
      <c r="C1008">
        <v>47.427100000000003</v>
      </c>
      <c r="D1008">
        <v>27.879200000000001</v>
      </c>
      <c r="E1008">
        <v>677.64200000000005</v>
      </c>
      <c r="F1008">
        <v>487.767</v>
      </c>
      <c r="G1008">
        <f t="shared" si="39"/>
        <v>0.8933744362450835</v>
      </c>
      <c r="H1008">
        <f t="shared" si="40"/>
        <v>0.73099248632961622</v>
      </c>
    </row>
    <row r="1009" spans="1:8" x14ac:dyDescent="0.2">
      <c r="A1009">
        <v>37081.699999999997</v>
      </c>
      <c r="B1009">
        <v>35956.5</v>
      </c>
      <c r="C1009">
        <v>34.962200000000003</v>
      </c>
      <c r="D1009">
        <v>58.030299999999997</v>
      </c>
      <c r="E1009">
        <v>743.35900000000004</v>
      </c>
      <c r="F1009">
        <v>980.91700000000003</v>
      </c>
      <c r="G1009">
        <f t="shared" si="39"/>
        <v>0.84328024295826454</v>
      </c>
      <c r="H1009">
        <f t="shared" si="40"/>
        <v>0.35219537542235402</v>
      </c>
    </row>
    <row r="1010" spans="1:8" x14ac:dyDescent="0.2">
      <c r="A1010">
        <v>29850.799999999999</v>
      </c>
      <c r="B1010">
        <v>36428.300000000003</v>
      </c>
      <c r="C1010">
        <v>33.486600000000003</v>
      </c>
      <c r="D1010">
        <v>41.337000000000003</v>
      </c>
      <c r="E1010">
        <v>647.54399999999998</v>
      </c>
      <c r="F1010">
        <v>902.60699999999997</v>
      </c>
      <c r="G1010">
        <f t="shared" si="39"/>
        <v>0.89459590234265285</v>
      </c>
      <c r="H1010">
        <f t="shared" si="40"/>
        <v>0.42141721288545508</v>
      </c>
    </row>
    <row r="1011" spans="1:8" x14ac:dyDescent="0.2">
      <c r="A1011">
        <v>32350</v>
      </c>
      <c r="B1011">
        <v>25944</v>
      </c>
      <c r="C1011">
        <v>44.354999999999997</v>
      </c>
      <c r="D1011">
        <v>27.576799999999999</v>
      </c>
      <c r="E1011">
        <v>694.75300000000004</v>
      </c>
      <c r="F1011">
        <v>580.03200000000004</v>
      </c>
      <c r="G1011">
        <f t="shared" si="39"/>
        <v>0.84221490038623403</v>
      </c>
      <c r="H1011">
        <f t="shared" si="40"/>
        <v>0.72678137339832127</v>
      </c>
    </row>
    <row r="1012" spans="1:8" x14ac:dyDescent="0.2">
      <c r="A1012">
        <v>32422.9</v>
      </c>
      <c r="B1012">
        <v>21272.2</v>
      </c>
      <c r="C1012">
        <v>31.164100000000001</v>
      </c>
      <c r="D1012">
        <v>25.6374</v>
      </c>
      <c r="E1012">
        <v>658.34699999999998</v>
      </c>
      <c r="F1012">
        <v>527.09400000000005</v>
      </c>
      <c r="G1012">
        <f t="shared" si="39"/>
        <v>0.94005146864423694</v>
      </c>
      <c r="H1012">
        <f t="shared" si="40"/>
        <v>0.72161744379566661</v>
      </c>
    </row>
    <row r="1013" spans="1:8" x14ac:dyDescent="0.2">
      <c r="A1013">
        <v>31044.799999999999</v>
      </c>
      <c r="B1013">
        <v>14745.9</v>
      </c>
      <c r="C1013">
        <v>37.999899999999997</v>
      </c>
      <c r="D1013">
        <v>32.743499999999997</v>
      </c>
      <c r="E1013">
        <v>669.21199999999999</v>
      </c>
      <c r="F1013">
        <v>443.50700000000001</v>
      </c>
      <c r="G1013">
        <f t="shared" si="39"/>
        <v>0.87110583670115116</v>
      </c>
      <c r="H1013">
        <f t="shared" si="40"/>
        <v>0.70654704980875926</v>
      </c>
    </row>
    <row r="1014" spans="1:8" x14ac:dyDescent="0.2">
      <c r="A1014">
        <v>36110.800000000003</v>
      </c>
      <c r="B1014">
        <v>12727.1</v>
      </c>
      <c r="C1014">
        <v>49.16</v>
      </c>
      <c r="D1014">
        <v>206.821</v>
      </c>
      <c r="E1014">
        <v>739.01599999999996</v>
      </c>
      <c r="F1014">
        <v>1334.54</v>
      </c>
      <c r="G1014">
        <f t="shared" si="39"/>
        <v>0.83088118529963972</v>
      </c>
      <c r="H1014">
        <f t="shared" si="40"/>
        <v>6.7349911024971426E-2</v>
      </c>
    </row>
    <row r="1015" spans="1:8" x14ac:dyDescent="0.2">
      <c r="A1015">
        <v>41231.4</v>
      </c>
      <c r="B1015">
        <v>21991.200000000001</v>
      </c>
      <c r="C1015">
        <v>39.505800000000001</v>
      </c>
      <c r="D1015">
        <v>30.098500000000001</v>
      </c>
      <c r="E1015">
        <v>763.43700000000001</v>
      </c>
      <c r="F1015">
        <v>532.33900000000006</v>
      </c>
      <c r="G1015">
        <f t="shared" si="39"/>
        <v>0.8889783208581955</v>
      </c>
      <c r="H1015">
        <f t="shared" si="40"/>
        <v>0.73138006709110093</v>
      </c>
    </row>
    <row r="1016" spans="1:8" x14ac:dyDescent="0.2">
      <c r="A1016">
        <v>37525.599999999999</v>
      </c>
      <c r="B1016">
        <v>16775.900000000001</v>
      </c>
      <c r="C1016">
        <v>56.846699999999998</v>
      </c>
      <c r="D1016">
        <v>31.610900000000001</v>
      </c>
      <c r="E1016">
        <v>720.43499999999995</v>
      </c>
      <c r="F1016">
        <v>467.46699999999998</v>
      </c>
      <c r="G1016">
        <f t="shared" si="39"/>
        <v>0.90854728564123111</v>
      </c>
      <c r="H1016">
        <f t="shared" si="40"/>
        <v>0.72352688462171277</v>
      </c>
    </row>
    <row r="1017" spans="1:8" x14ac:dyDescent="0.2">
      <c r="A1017">
        <v>39609</v>
      </c>
      <c r="B1017">
        <v>26348.1</v>
      </c>
      <c r="C1017">
        <v>24.937999999999999</v>
      </c>
      <c r="D1017">
        <v>48.612299999999998</v>
      </c>
      <c r="E1017">
        <v>714.86500000000001</v>
      </c>
      <c r="F1017">
        <v>686.01499999999999</v>
      </c>
      <c r="G1017">
        <f t="shared" si="39"/>
        <v>0.97399181301482063</v>
      </c>
      <c r="H1017">
        <f t="shared" si="40"/>
        <v>0.52765838024295031</v>
      </c>
    </row>
    <row r="1018" spans="1:8" x14ac:dyDescent="0.2">
      <c r="A1018">
        <v>34425</v>
      </c>
      <c r="B1018">
        <v>20546.2</v>
      </c>
      <c r="C1018">
        <v>25.029299999999999</v>
      </c>
      <c r="D1018">
        <v>42.162500000000001</v>
      </c>
      <c r="E1018">
        <v>664.19500000000005</v>
      </c>
      <c r="F1018">
        <v>555.27</v>
      </c>
      <c r="G1018">
        <f t="shared" si="39"/>
        <v>0.98060079776198039</v>
      </c>
      <c r="H1018">
        <f t="shared" si="40"/>
        <v>0.6280494672959831</v>
      </c>
    </row>
    <row r="1019" spans="1:8" x14ac:dyDescent="0.2">
      <c r="A1019">
        <v>27331.7</v>
      </c>
      <c r="B1019">
        <v>33929.300000000003</v>
      </c>
      <c r="C1019">
        <v>36.186799999999998</v>
      </c>
      <c r="D1019">
        <v>41.517400000000002</v>
      </c>
      <c r="E1019">
        <v>658.28899999999999</v>
      </c>
      <c r="F1019">
        <v>695.822</v>
      </c>
      <c r="G1019">
        <f t="shared" si="39"/>
        <v>0.79257970254376908</v>
      </c>
      <c r="H1019">
        <f t="shared" si="40"/>
        <v>0.66046430142191448</v>
      </c>
    </row>
    <row r="1020" spans="1:8" x14ac:dyDescent="0.2">
      <c r="A1020">
        <v>32154.3</v>
      </c>
      <c r="B1020">
        <v>39564.699999999997</v>
      </c>
      <c r="C1020">
        <v>41.069699999999997</v>
      </c>
      <c r="D1020">
        <v>26.556100000000001</v>
      </c>
      <c r="E1020">
        <v>832.07</v>
      </c>
      <c r="F1020">
        <v>719.70299999999997</v>
      </c>
      <c r="G1020">
        <f t="shared" si="39"/>
        <v>0.58361820254720742</v>
      </c>
      <c r="H1020">
        <f t="shared" si="40"/>
        <v>0.71989973154813469</v>
      </c>
    </row>
    <row r="1021" spans="1:8" x14ac:dyDescent="0.2">
      <c r="A1021">
        <v>42688.7</v>
      </c>
      <c r="B1021">
        <v>2036.36</v>
      </c>
      <c r="C1021">
        <v>29.464300000000001</v>
      </c>
      <c r="D1021">
        <v>51.445300000000003</v>
      </c>
      <c r="E1021">
        <v>777.61300000000006</v>
      </c>
      <c r="F1021">
        <v>645.88400000000001</v>
      </c>
      <c r="G1021">
        <f t="shared" si="39"/>
        <v>0.88714661897353719</v>
      </c>
      <c r="H1021">
        <f t="shared" si="40"/>
        <v>4.6006189692708484E-2</v>
      </c>
    </row>
    <row r="1022" spans="1:8" x14ac:dyDescent="0.2">
      <c r="A1022">
        <v>25595.5</v>
      </c>
      <c r="B1022">
        <v>25987.7</v>
      </c>
      <c r="C1022">
        <v>47.169800000000002</v>
      </c>
      <c r="D1022">
        <v>50.738700000000001</v>
      </c>
      <c r="E1022">
        <v>631.875</v>
      </c>
      <c r="F1022">
        <v>762.94200000000001</v>
      </c>
      <c r="G1022">
        <f t="shared" si="39"/>
        <v>0.80558388340793308</v>
      </c>
      <c r="H1022">
        <f t="shared" si="40"/>
        <v>0.42078045438687289</v>
      </c>
    </row>
    <row r="1023" spans="1:8" x14ac:dyDescent="0.2">
      <c r="A1023">
        <v>22246.2</v>
      </c>
      <c r="B1023">
        <v>25835.599999999999</v>
      </c>
      <c r="C1023">
        <v>33.321399999999997</v>
      </c>
      <c r="D1023">
        <v>33.752899999999997</v>
      </c>
      <c r="E1023">
        <v>562.00599999999997</v>
      </c>
      <c r="F1023">
        <v>580.55200000000002</v>
      </c>
      <c r="G1023">
        <f t="shared" si="39"/>
        <v>0.88508184042820248</v>
      </c>
      <c r="H1023">
        <f t="shared" si="40"/>
        <v>0.72244877906289418</v>
      </c>
    </row>
    <row r="1024" spans="1:8" x14ac:dyDescent="0.2">
      <c r="A1024">
        <v>29453.5</v>
      </c>
      <c r="B1024">
        <v>17730.3</v>
      </c>
      <c r="C1024">
        <v>28.3629</v>
      </c>
      <c r="D1024">
        <v>29.133400000000002</v>
      </c>
      <c r="E1024">
        <v>662.06299999999999</v>
      </c>
      <c r="F1024">
        <v>481.69600000000003</v>
      </c>
      <c r="G1024">
        <f t="shared" si="39"/>
        <v>0.8443991198720191</v>
      </c>
      <c r="H1024">
        <f t="shared" si="40"/>
        <v>0.72017951612044384</v>
      </c>
    </row>
    <row r="1025" spans="1:8" x14ac:dyDescent="0.2">
      <c r="A1025">
        <v>24931.5</v>
      </c>
      <c r="B1025">
        <v>31669.8</v>
      </c>
      <c r="C1025">
        <v>24.818899999999999</v>
      </c>
      <c r="D1025">
        <v>33.187399999999997</v>
      </c>
      <c r="E1025">
        <v>567.84100000000001</v>
      </c>
      <c r="F1025">
        <v>645.99800000000005</v>
      </c>
      <c r="G1025">
        <f t="shared" si="39"/>
        <v>0.97163782262354248</v>
      </c>
      <c r="H1025">
        <f t="shared" si="40"/>
        <v>0.71524319492076649</v>
      </c>
    </row>
    <row r="1026" spans="1:8" x14ac:dyDescent="0.2">
      <c r="A1026">
        <v>29292.5</v>
      </c>
      <c r="B1026">
        <v>19222.099999999999</v>
      </c>
      <c r="C1026">
        <v>34.2637</v>
      </c>
      <c r="D1026">
        <v>29.539400000000001</v>
      </c>
      <c r="E1026">
        <v>644.67100000000005</v>
      </c>
      <c r="F1026">
        <v>504.96800000000002</v>
      </c>
      <c r="G1026">
        <f t="shared" si="39"/>
        <v>0.88570616425322934</v>
      </c>
      <c r="H1026">
        <f t="shared" si="40"/>
        <v>0.71046694630403429</v>
      </c>
    </row>
    <row r="1027" spans="1:8" x14ac:dyDescent="0.2">
      <c r="A1027">
        <v>30336</v>
      </c>
      <c r="B1027">
        <v>19779.400000000001</v>
      </c>
      <c r="C1027">
        <v>33.996499999999997</v>
      </c>
      <c r="D1027">
        <v>33.383200000000002</v>
      </c>
      <c r="E1027">
        <v>656.65099999999995</v>
      </c>
      <c r="F1027">
        <v>509.411</v>
      </c>
      <c r="G1027">
        <f t="shared" ref="G1027:G1090" si="41" xml:space="preserve"> 3.14159*4*A1027/(E1027*E1027)</f>
        <v>0.88409430474126827</v>
      </c>
      <c r="H1027">
        <f t="shared" ref="H1027:H1090" si="42" xml:space="preserve"> 3*3.14159*B1027/(F1027*F1027)</f>
        <v>0.71836842716100213</v>
      </c>
    </row>
    <row r="1028" spans="1:8" x14ac:dyDescent="0.2">
      <c r="A1028">
        <v>43656.3</v>
      </c>
      <c r="B1028">
        <v>15035.2</v>
      </c>
      <c r="C1028">
        <v>39.8048</v>
      </c>
      <c r="D1028">
        <v>33.546999999999997</v>
      </c>
      <c r="E1028">
        <v>774.13699999999994</v>
      </c>
      <c r="F1028">
        <v>447.50700000000001</v>
      </c>
      <c r="G1028">
        <f t="shared" si="41"/>
        <v>0.91542079153009426</v>
      </c>
      <c r="H1028">
        <f t="shared" si="42"/>
        <v>0.70758774735915098</v>
      </c>
    </row>
    <row r="1029" spans="1:8" x14ac:dyDescent="0.2">
      <c r="A1029">
        <v>34353.300000000003</v>
      </c>
      <c r="B1029">
        <v>39001.5</v>
      </c>
      <c r="C1029">
        <v>35.997399999999999</v>
      </c>
      <c r="D1029">
        <v>40.715000000000003</v>
      </c>
      <c r="E1029">
        <v>725.11800000000005</v>
      </c>
      <c r="F1029">
        <v>905.46100000000001</v>
      </c>
      <c r="G1029">
        <f t="shared" si="41"/>
        <v>0.82103295090233108</v>
      </c>
      <c r="H1029">
        <f t="shared" si="42"/>
        <v>0.44834524967179334</v>
      </c>
    </row>
    <row r="1030" spans="1:8" x14ac:dyDescent="0.2">
      <c r="A1030">
        <v>28314.6</v>
      </c>
      <c r="B1030">
        <v>20796.3</v>
      </c>
      <c r="C1030">
        <v>27.611999999999998</v>
      </c>
      <c r="D1030">
        <v>34.941299999999998</v>
      </c>
      <c r="E1030">
        <v>622.19100000000003</v>
      </c>
      <c r="F1030">
        <v>535.05600000000004</v>
      </c>
      <c r="G1030">
        <f t="shared" si="41"/>
        <v>0.91912055449523034</v>
      </c>
      <c r="H1030">
        <f t="shared" si="42"/>
        <v>0.68463383332935679</v>
      </c>
    </row>
    <row r="1031" spans="1:8" x14ac:dyDescent="0.2">
      <c r="A1031">
        <v>30675.1</v>
      </c>
      <c r="B1031">
        <v>22073.9</v>
      </c>
      <c r="C1031">
        <v>28.853400000000001</v>
      </c>
      <c r="D1031">
        <v>36.348100000000002</v>
      </c>
      <c r="E1031">
        <v>640.14099999999996</v>
      </c>
      <c r="F1031">
        <v>552.74</v>
      </c>
      <c r="G1031">
        <f t="shared" si="41"/>
        <v>0.94068495145069486</v>
      </c>
      <c r="H1031">
        <f t="shared" si="42"/>
        <v>0.6809387402453364</v>
      </c>
    </row>
    <row r="1032" spans="1:8" x14ac:dyDescent="0.2">
      <c r="A1032">
        <v>31256.9</v>
      </c>
      <c r="B1032">
        <v>20797.5</v>
      </c>
      <c r="C1032">
        <v>25.196300000000001</v>
      </c>
      <c r="D1032">
        <v>22.5959</v>
      </c>
      <c r="E1032">
        <v>649.93499999999995</v>
      </c>
      <c r="F1032">
        <v>514.21</v>
      </c>
      <c r="G1032">
        <f t="shared" si="41"/>
        <v>0.92985568464073842</v>
      </c>
      <c r="H1032">
        <f t="shared" si="42"/>
        <v>0.74131170423641235</v>
      </c>
    </row>
    <row r="1033" spans="1:8" x14ac:dyDescent="0.2">
      <c r="A1033">
        <v>33586</v>
      </c>
      <c r="B1033">
        <v>22473.4</v>
      </c>
      <c r="C1033">
        <v>29.030999999999999</v>
      </c>
      <c r="D1033">
        <v>37.198599999999999</v>
      </c>
      <c r="E1033">
        <v>673.58699999999999</v>
      </c>
      <c r="F1033">
        <v>552.43700000000001</v>
      </c>
      <c r="G1033">
        <f t="shared" si="41"/>
        <v>0.93020867884668812</v>
      </c>
      <c r="H1033">
        <f t="shared" si="42"/>
        <v>0.69402326010580917</v>
      </c>
    </row>
    <row r="1034" spans="1:8" x14ac:dyDescent="0.2">
      <c r="A1034">
        <v>38877.5</v>
      </c>
      <c r="B1034">
        <v>19435.099999999999</v>
      </c>
      <c r="C1034">
        <v>35.799900000000001</v>
      </c>
      <c r="D1034">
        <v>34.0916</v>
      </c>
      <c r="E1034">
        <v>746.10599999999999</v>
      </c>
      <c r="F1034">
        <v>512.053</v>
      </c>
      <c r="G1034">
        <f t="shared" si="41"/>
        <v>0.87762050615034837</v>
      </c>
      <c r="H1034">
        <f t="shared" si="42"/>
        <v>0.69859859894361354</v>
      </c>
    </row>
    <row r="1035" spans="1:8" x14ac:dyDescent="0.2">
      <c r="A1035">
        <v>33746.1</v>
      </c>
      <c r="B1035">
        <v>24392.6</v>
      </c>
      <c r="C1035">
        <v>29.084800000000001</v>
      </c>
      <c r="D1035">
        <v>22.977699999999999</v>
      </c>
      <c r="E1035">
        <v>658.18499999999995</v>
      </c>
      <c r="F1035">
        <v>560.32899999999995</v>
      </c>
      <c r="G1035">
        <f t="shared" si="41"/>
        <v>0.9788972879027531</v>
      </c>
      <c r="H1035">
        <f t="shared" si="42"/>
        <v>0.73222179960733691</v>
      </c>
    </row>
    <row r="1036" spans="1:8" x14ac:dyDescent="0.2">
      <c r="A1036">
        <v>21758.2</v>
      </c>
      <c r="B1036">
        <v>21619</v>
      </c>
      <c r="C1036">
        <v>24.6523</v>
      </c>
      <c r="D1036">
        <v>28.4053</v>
      </c>
      <c r="E1036">
        <v>537.98900000000003</v>
      </c>
      <c r="F1036">
        <v>527.697</v>
      </c>
      <c r="G1036">
        <f t="shared" si="41"/>
        <v>0.94468206386935438</v>
      </c>
      <c r="H1036">
        <f t="shared" si="42"/>
        <v>0.73170683477256837</v>
      </c>
    </row>
    <row r="1037" spans="1:8" x14ac:dyDescent="0.2">
      <c r="A1037">
        <v>28393.7</v>
      </c>
      <c r="B1037">
        <v>21258.6</v>
      </c>
      <c r="C1037">
        <v>33.231200000000001</v>
      </c>
      <c r="D1037">
        <v>21.608799999999999</v>
      </c>
      <c r="E1037">
        <v>625.65599999999995</v>
      </c>
      <c r="F1037">
        <v>519.90800000000002</v>
      </c>
      <c r="G1037">
        <f t="shared" si="41"/>
        <v>0.91150752641494259</v>
      </c>
      <c r="H1037">
        <f t="shared" si="42"/>
        <v>0.74122903122020922</v>
      </c>
    </row>
    <row r="1038" spans="1:8" x14ac:dyDescent="0.2">
      <c r="A1038">
        <v>33896</v>
      </c>
      <c r="B1038">
        <v>35747.1</v>
      </c>
      <c r="C1038">
        <v>35.554900000000004</v>
      </c>
      <c r="D1038">
        <v>33.0809</v>
      </c>
      <c r="E1038">
        <v>686.90700000000004</v>
      </c>
      <c r="F1038">
        <v>708.11500000000001</v>
      </c>
      <c r="G1038">
        <f t="shared" si="41"/>
        <v>0.90273870637603526</v>
      </c>
      <c r="H1038">
        <f t="shared" si="42"/>
        <v>0.67189898885575372</v>
      </c>
    </row>
    <row r="1039" spans="1:8" x14ac:dyDescent="0.2">
      <c r="A1039">
        <v>20642</v>
      </c>
      <c r="B1039">
        <v>22205.599999999999</v>
      </c>
      <c r="C1039">
        <v>43.360100000000003</v>
      </c>
      <c r="D1039">
        <v>22.084</v>
      </c>
      <c r="E1039">
        <v>551.91300000000001</v>
      </c>
      <c r="F1039">
        <v>540.66499999999996</v>
      </c>
      <c r="G1039">
        <f t="shared" si="41"/>
        <v>0.851569353233666</v>
      </c>
      <c r="H1039">
        <f t="shared" si="42"/>
        <v>0.71594021893038706</v>
      </c>
    </row>
    <row r="1040" spans="1:8" x14ac:dyDescent="0.2">
      <c r="A1040">
        <v>32039.8</v>
      </c>
      <c r="B1040">
        <v>19999.2</v>
      </c>
      <c r="C1040">
        <v>37.760199999999998</v>
      </c>
      <c r="D1040">
        <v>22.5915</v>
      </c>
      <c r="E1040">
        <v>659.71</v>
      </c>
      <c r="F1040">
        <v>509.48899999999998</v>
      </c>
      <c r="G1040">
        <f t="shared" si="41"/>
        <v>0.92510953915949934</v>
      </c>
      <c r="H1040">
        <f t="shared" si="42"/>
        <v>0.72612896391792425</v>
      </c>
    </row>
    <row r="1041" spans="1:8" x14ac:dyDescent="0.2">
      <c r="A1041">
        <v>25992.1</v>
      </c>
      <c r="B1041">
        <v>23314.5</v>
      </c>
      <c r="C1041">
        <v>46.1967</v>
      </c>
      <c r="D1041">
        <v>28.03</v>
      </c>
      <c r="E1041">
        <v>639.16800000000001</v>
      </c>
      <c r="F1041">
        <v>554.70000000000005</v>
      </c>
      <c r="G1041">
        <f t="shared" si="41"/>
        <v>0.79950432726631349</v>
      </c>
      <c r="H1041">
        <f t="shared" si="42"/>
        <v>0.71413535578701404</v>
      </c>
    </row>
    <row r="1042" spans="1:8" x14ac:dyDescent="0.2">
      <c r="A1042">
        <v>3611.43</v>
      </c>
      <c r="B1042">
        <v>28261.7</v>
      </c>
      <c r="C1042">
        <v>140.59100000000001</v>
      </c>
      <c r="D1042">
        <v>24.5625</v>
      </c>
      <c r="E1042">
        <v>1077.07</v>
      </c>
      <c r="F1042">
        <v>602.56700000000001</v>
      </c>
      <c r="G1042">
        <f t="shared" si="41"/>
        <v>3.9120179564815033E-2</v>
      </c>
      <c r="H1042">
        <f t="shared" si="42"/>
        <v>0.73359836628646136</v>
      </c>
    </row>
    <row r="1043" spans="1:8" x14ac:dyDescent="0.2">
      <c r="A1043">
        <v>27477.7</v>
      </c>
      <c r="B1043">
        <v>3493.36</v>
      </c>
      <c r="C1043">
        <v>38.974400000000003</v>
      </c>
      <c r="D1043">
        <v>62.2896</v>
      </c>
      <c r="E1043">
        <v>641.79600000000005</v>
      </c>
      <c r="F1043">
        <v>909.50800000000004</v>
      </c>
      <c r="G1043">
        <f t="shared" si="41"/>
        <v>0.83829304454661968</v>
      </c>
      <c r="H1043">
        <f t="shared" si="42"/>
        <v>3.9801648207371858E-2</v>
      </c>
    </row>
    <row r="1044" spans="1:8" x14ac:dyDescent="0.2">
      <c r="A1044">
        <v>25057.5</v>
      </c>
      <c r="B1044">
        <v>29800.9</v>
      </c>
      <c r="C1044">
        <v>46.185699999999997</v>
      </c>
      <c r="D1044">
        <v>41.089500000000001</v>
      </c>
      <c r="E1044">
        <v>580.60500000000002</v>
      </c>
      <c r="F1044">
        <v>714.04399999999998</v>
      </c>
      <c r="G1044">
        <f t="shared" si="41"/>
        <v>0.93408348398641805</v>
      </c>
      <c r="H1044">
        <f t="shared" si="42"/>
        <v>0.55087135810665544</v>
      </c>
    </row>
    <row r="1045" spans="1:8" x14ac:dyDescent="0.2">
      <c r="A1045">
        <v>38110.300000000003</v>
      </c>
      <c r="B1045">
        <v>10208.5</v>
      </c>
      <c r="C1045">
        <v>52.056199999999997</v>
      </c>
      <c r="D1045">
        <v>175.846</v>
      </c>
      <c r="E1045">
        <v>755.87900000000002</v>
      </c>
      <c r="F1045">
        <v>1183.93</v>
      </c>
      <c r="G1045">
        <f t="shared" si="41"/>
        <v>0.83819932161440702</v>
      </c>
      <c r="H1045">
        <f t="shared" si="42"/>
        <v>6.864053231094866E-2</v>
      </c>
    </row>
    <row r="1046" spans="1:8" x14ac:dyDescent="0.2">
      <c r="A1046">
        <v>35803.1</v>
      </c>
      <c r="B1046">
        <v>10326.5</v>
      </c>
      <c r="C1046">
        <v>38.477200000000003</v>
      </c>
      <c r="D1046">
        <v>118.23699999999999</v>
      </c>
      <c r="E1046">
        <v>686.44100000000003</v>
      </c>
      <c r="F1046">
        <v>1089.98</v>
      </c>
      <c r="G1046">
        <f t="shared" si="41"/>
        <v>0.9548248165216634</v>
      </c>
      <c r="H1046">
        <f t="shared" si="42"/>
        <v>8.191941676525813E-2</v>
      </c>
    </row>
    <row r="1047" spans="1:8" x14ac:dyDescent="0.2">
      <c r="A1047">
        <v>38898.5</v>
      </c>
      <c r="B1047">
        <v>29185.8</v>
      </c>
      <c r="C1047">
        <v>44.408799999999999</v>
      </c>
      <c r="D1047">
        <v>28.060600000000001</v>
      </c>
      <c r="E1047">
        <v>723.16200000000003</v>
      </c>
      <c r="F1047">
        <v>635.12900000000002</v>
      </c>
      <c r="G1047">
        <f t="shared" si="41"/>
        <v>0.93469766386146469</v>
      </c>
      <c r="H1047">
        <f t="shared" si="42"/>
        <v>0.68189652380448884</v>
      </c>
    </row>
    <row r="1048" spans="1:8" x14ac:dyDescent="0.2">
      <c r="A1048">
        <v>34606.1</v>
      </c>
      <c r="B1048">
        <v>25924.3</v>
      </c>
      <c r="C1048">
        <v>39.338799999999999</v>
      </c>
      <c r="D1048">
        <v>26.507999999999999</v>
      </c>
      <c r="E1048">
        <v>670.65800000000002</v>
      </c>
      <c r="F1048">
        <v>577.29600000000005</v>
      </c>
      <c r="G1048">
        <f t="shared" si="41"/>
        <v>0.96685185912836036</v>
      </c>
      <c r="H1048">
        <f t="shared" si="42"/>
        <v>0.73312951219578559</v>
      </c>
    </row>
    <row r="1049" spans="1:8" x14ac:dyDescent="0.2">
      <c r="A1049">
        <v>33289.4</v>
      </c>
      <c r="B1049">
        <v>22373</v>
      </c>
      <c r="C1049">
        <v>55.342100000000002</v>
      </c>
      <c r="D1049">
        <v>19.1431</v>
      </c>
      <c r="E1049">
        <v>699.72</v>
      </c>
      <c r="F1049">
        <v>533.86300000000006</v>
      </c>
      <c r="G1049">
        <f t="shared" si="41"/>
        <v>0.8544111158276998</v>
      </c>
      <c r="H1049">
        <f t="shared" si="42"/>
        <v>0.7398357921200388</v>
      </c>
    </row>
    <row r="1050" spans="1:8" x14ac:dyDescent="0.2">
      <c r="A1050">
        <v>30416.2</v>
      </c>
      <c r="B1050">
        <v>20918.099999999999</v>
      </c>
      <c r="C1050">
        <v>39.778100000000002</v>
      </c>
      <c r="D1050">
        <v>35.577100000000002</v>
      </c>
      <c r="E1050">
        <v>641.17600000000004</v>
      </c>
      <c r="F1050">
        <v>529.91499999999996</v>
      </c>
      <c r="G1050">
        <f t="shared" si="41"/>
        <v>0.92973661936078533</v>
      </c>
      <c r="H1050">
        <f t="shared" si="42"/>
        <v>0.70207024846539401</v>
      </c>
    </row>
    <row r="1051" spans="1:8" x14ac:dyDescent="0.2">
      <c r="A1051">
        <v>31633.3</v>
      </c>
      <c r="B1051">
        <v>27162.6</v>
      </c>
      <c r="C1051">
        <v>31.3156</v>
      </c>
      <c r="D1051">
        <v>32.607999999999997</v>
      </c>
      <c r="E1051">
        <v>654.05799999999999</v>
      </c>
      <c r="F1051">
        <v>609.54899999999998</v>
      </c>
      <c r="G1051">
        <f t="shared" si="41"/>
        <v>0.92922625723915797</v>
      </c>
      <c r="H1051">
        <f t="shared" si="42"/>
        <v>0.6890089329534631</v>
      </c>
    </row>
    <row r="1052" spans="1:8" x14ac:dyDescent="0.2">
      <c r="A1052">
        <v>31322.3</v>
      </c>
      <c r="B1052">
        <v>15338.3</v>
      </c>
      <c r="C1052">
        <v>35.951099999999997</v>
      </c>
      <c r="D1052">
        <v>138.79300000000001</v>
      </c>
      <c r="E1052">
        <v>666.40700000000004</v>
      </c>
      <c r="F1052">
        <v>958.48599999999999</v>
      </c>
      <c r="G1052">
        <f t="shared" si="41"/>
        <v>0.88630671858496368</v>
      </c>
      <c r="H1052">
        <f t="shared" si="42"/>
        <v>0.15735351213461671</v>
      </c>
    </row>
    <row r="1053" spans="1:8" x14ac:dyDescent="0.2">
      <c r="A1053">
        <v>46010.1</v>
      </c>
      <c r="B1053">
        <v>6850.95</v>
      </c>
      <c r="C1053">
        <v>30.808800000000002</v>
      </c>
      <c r="D1053">
        <v>178.65199999999999</v>
      </c>
      <c r="E1053">
        <v>772.70600000000002</v>
      </c>
      <c r="F1053">
        <v>1154.7</v>
      </c>
      <c r="G1053">
        <f t="shared" si="41"/>
        <v>0.96835389850991116</v>
      </c>
      <c r="H1053">
        <f t="shared" si="42"/>
        <v>4.8426516181351326E-2</v>
      </c>
    </row>
    <row r="1054" spans="1:8" x14ac:dyDescent="0.2">
      <c r="A1054">
        <v>39272</v>
      </c>
      <c r="B1054">
        <v>12328.7</v>
      </c>
      <c r="C1054">
        <v>45.9754</v>
      </c>
      <c r="D1054">
        <v>114.062</v>
      </c>
      <c r="E1054">
        <v>787.02800000000002</v>
      </c>
      <c r="F1054">
        <v>1164.22</v>
      </c>
      <c r="G1054">
        <f t="shared" si="41"/>
        <v>0.79673179595951793</v>
      </c>
      <c r="H1054">
        <f t="shared" si="42"/>
        <v>8.5727060806399635E-2</v>
      </c>
    </row>
    <row r="1055" spans="1:8" x14ac:dyDescent="0.2">
      <c r="A1055">
        <v>35744.800000000003</v>
      </c>
      <c r="B1055">
        <v>27759.8</v>
      </c>
      <c r="C1055">
        <v>41.6023</v>
      </c>
      <c r="D1055">
        <v>26.068999999999999</v>
      </c>
      <c r="E1055">
        <v>744.85799999999995</v>
      </c>
      <c r="F1055">
        <v>604.65099999999995</v>
      </c>
      <c r="G1055">
        <f t="shared" si="41"/>
        <v>0.80960912698009657</v>
      </c>
      <c r="H1055">
        <f t="shared" si="42"/>
        <v>0.71561188122417707</v>
      </c>
    </row>
    <row r="1056" spans="1:8" x14ac:dyDescent="0.2">
      <c r="A1056">
        <v>32024.799999999999</v>
      </c>
      <c r="B1056">
        <v>27996.9</v>
      </c>
      <c r="C1056">
        <v>35.999099999999999</v>
      </c>
      <c r="D1056">
        <v>32.151000000000003</v>
      </c>
      <c r="E1056">
        <v>658.94100000000003</v>
      </c>
      <c r="F1056">
        <v>620.42600000000004</v>
      </c>
      <c r="G1056">
        <f t="shared" si="41"/>
        <v>0.92683593138401255</v>
      </c>
      <c r="H1056">
        <f t="shared" si="42"/>
        <v>0.68548937540443922</v>
      </c>
    </row>
    <row r="1057" spans="1:8" x14ac:dyDescent="0.2">
      <c r="A1057">
        <v>37993.800000000003</v>
      </c>
      <c r="B1057">
        <v>20447.2</v>
      </c>
      <c r="C1057">
        <v>45.855400000000003</v>
      </c>
      <c r="D1057">
        <v>120.107</v>
      </c>
      <c r="E1057">
        <v>719.38</v>
      </c>
      <c r="F1057">
        <v>1509.05</v>
      </c>
      <c r="G1057">
        <f t="shared" si="41"/>
        <v>0.92258313300190542</v>
      </c>
      <c r="H1057">
        <f t="shared" si="42"/>
        <v>8.4624739769558879E-2</v>
      </c>
    </row>
    <row r="1058" spans="1:8" x14ac:dyDescent="0.2">
      <c r="A1058">
        <v>41907.199999999997</v>
      </c>
      <c r="B1058">
        <v>6541.4</v>
      </c>
      <c r="C1058">
        <v>37.192399999999999</v>
      </c>
      <c r="D1058">
        <v>112.151</v>
      </c>
      <c r="E1058">
        <v>743.57299999999998</v>
      </c>
      <c r="F1058">
        <v>1094.99</v>
      </c>
      <c r="G1058">
        <f t="shared" si="41"/>
        <v>0.95246915136281729</v>
      </c>
      <c r="H1058">
        <f t="shared" si="42"/>
        <v>5.1418708152512801E-2</v>
      </c>
    </row>
    <row r="1059" spans="1:8" x14ac:dyDescent="0.2">
      <c r="A1059">
        <v>29425.9</v>
      </c>
      <c r="B1059">
        <v>29285.9</v>
      </c>
      <c r="C1059">
        <v>26.864599999999999</v>
      </c>
      <c r="D1059">
        <v>33.960999999999999</v>
      </c>
      <c r="E1059">
        <v>632.66899999999998</v>
      </c>
      <c r="F1059">
        <v>628.88900000000001</v>
      </c>
      <c r="G1059">
        <f t="shared" si="41"/>
        <v>0.92381740826252723</v>
      </c>
      <c r="H1059">
        <f t="shared" si="42"/>
        <v>0.69788094217589292</v>
      </c>
    </row>
    <row r="1060" spans="1:8" x14ac:dyDescent="0.2">
      <c r="A1060">
        <v>32296.5</v>
      </c>
      <c r="B1060">
        <v>26502</v>
      </c>
      <c r="C1060">
        <v>35.896599999999999</v>
      </c>
      <c r="D1060">
        <v>26.209900000000001</v>
      </c>
      <c r="E1060">
        <v>653.08199999999999</v>
      </c>
      <c r="F1060">
        <v>594.85699999999997</v>
      </c>
      <c r="G1060">
        <f t="shared" si="41"/>
        <v>0.95154543276132364</v>
      </c>
      <c r="H1060">
        <f t="shared" si="42"/>
        <v>0.7058692405178697</v>
      </c>
    </row>
    <row r="1061" spans="1:8" x14ac:dyDescent="0.2">
      <c r="A1061">
        <v>35477.599999999999</v>
      </c>
      <c r="B1061">
        <v>24771.5</v>
      </c>
      <c r="C1061">
        <v>53.201999999999998</v>
      </c>
      <c r="D1061">
        <v>26.6358</v>
      </c>
      <c r="E1061">
        <v>707.25300000000004</v>
      </c>
      <c r="F1061">
        <v>564.83399999999995</v>
      </c>
      <c r="G1061">
        <f t="shared" si="41"/>
        <v>0.89127994297618252</v>
      </c>
      <c r="H1061">
        <f t="shared" si="42"/>
        <v>0.7317814627827357</v>
      </c>
    </row>
    <row r="1062" spans="1:8" x14ac:dyDescent="0.2">
      <c r="A1062">
        <v>36401.300000000003</v>
      </c>
      <c r="B1062">
        <v>19731.2</v>
      </c>
      <c r="C1062">
        <v>32.457500000000003</v>
      </c>
      <c r="D1062">
        <v>42.225200000000001</v>
      </c>
      <c r="E1062">
        <v>694.85699999999997</v>
      </c>
      <c r="F1062">
        <v>593.053</v>
      </c>
      <c r="G1062">
        <f t="shared" si="41"/>
        <v>0.94740466128884948</v>
      </c>
      <c r="H1062">
        <f t="shared" si="42"/>
        <v>0.52873400799237813</v>
      </c>
    </row>
    <row r="1063" spans="1:8" x14ac:dyDescent="0.2">
      <c r="A1063">
        <v>27866.5</v>
      </c>
      <c r="B1063">
        <v>23239.4</v>
      </c>
      <c r="C1063">
        <v>25.627700000000001</v>
      </c>
      <c r="D1063">
        <v>27.636500000000002</v>
      </c>
      <c r="E1063">
        <v>601.30799999999999</v>
      </c>
      <c r="F1063">
        <v>559.32399999999996</v>
      </c>
      <c r="G1063">
        <f t="shared" si="41"/>
        <v>0.96849628390930464</v>
      </c>
      <c r="H1063">
        <f t="shared" si="42"/>
        <v>0.70011399972633193</v>
      </c>
    </row>
    <row r="1064" spans="1:8" x14ac:dyDescent="0.2">
      <c r="A1064">
        <v>39686.400000000001</v>
      </c>
      <c r="B1064">
        <v>29973.8</v>
      </c>
      <c r="C1064">
        <v>86.485799999999998</v>
      </c>
      <c r="D1064">
        <v>27.738700000000001</v>
      </c>
      <c r="E1064">
        <v>748.64</v>
      </c>
      <c r="F1064">
        <v>634.68700000000001</v>
      </c>
      <c r="G1064">
        <f t="shared" si="41"/>
        <v>0.88982611369521492</v>
      </c>
      <c r="H1064">
        <f t="shared" si="42"/>
        <v>0.70128307857539207</v>
      </c>
    </row>
    <row r="1065" spans="1:8" x14ac:dyDescent="0.2">
      <c r="A1065">
        <v>32281.9</v>
      </c>
      <c r="B1065">
        <v>23774.6</v>
      </c>
      <c r="C1065">
        <v>33.390599999999999</v>
      </c>
      <c r="D1065">
        <v>30.869399999999999</v>
      </c>
      <c r="E1065">
        <v>649.38</v>
      </c>
      <c r="F1065">
        <v>568.34500000000003</v>
      </c>
      <c r="G1065">
        <f t="shared" si="41"/>
        <v>0.96199046487468476</v>
      </c>
      <c r="H1065">
        <f t="shared" si="42"/>
        <v>0.69368114821276083</v>
      </c>
    </row>
    <row r="1066" spans="1:8" x14ac:dyDescent="0.2">
      <c r="A1066">
        <v>31963.8</v>
      </c>
      <c r="B1066">
        <v>23736.9</v>
      </c>
      <c r="C1066">
        <v>35.331800000000001</v>
      </c>
      <c r="D1066">
        <v>45.114400000000003</v>
      </c>
      <c r="E1066">
        <v>653.4</v>
      </c>
      <c r="F1066">
        <v>632.26</v>
      </c>
      <c r="G1066">
        <f t="shared" si="41"/>
        <v>0.94082671650697358</v>
      </c>
      <c r="H1066">
        <f t="shared" si="42"/>
        <v>0.55963304002646863</v>
      </c>
    </row>
    <row r="1067" spans="1:8" x14ac:dyDescent="0.2">
      <c r="A1067">
        <v>30994.2</v>
      </c>
      <c r="B1067">
        <v>15293.6</v>
      </c>
      <c r="C1067">
        <v>46.911099999999998</v>
      </c>
      <c r="D1067">
        <v>32.761699999999998</v>
      </c>
      <c r="E1067">
        <v>695.08799999999997</v>
      </c>
      <c r="F1067">
        <v>454.38400000000001</v>
      </c>
      <c r="G1067">
        <f t="shared" si="41"/>
        <v>0.80613976885818939</v>
      </c>
      <c r="H1067">
        <f t="shared" si="42"/>
        <v>0.69812698769592352</v>
      </c>
    </row>
    <row r="1068" spans="1:8" x14ac:dyDescent="0.2">
      <c r="A1068">
        <v>47217.599999999999</v>
      </c>
      <c r="B1068">
        <v>20784</v>
      </c>
      <c r="C1068">
        <v>51.368600000000001</v>
      </c>
      <c r="D1068">
        <v>50.895099999999999</v>
      </c>
      <c r="E1068">
        <v>800.02200000000005</v>
      </c>
      <c r="F1068">
        <v>608.48699999999997</v>
      </c>
      <c r="G1068">
        <f t="shared" si="41"/>
        <v>0.92706363569894457</v>
      </c>
      <c r="H1068">
        <f t="shared" si="42"/>
        <v>0.52905069094854373</v>
      </c>
    </row>
    <row r="1069" spans="1:8" x14ac:dyDescent="0.2">
      <c r="A1069">
        <v>34676.400000000001</v>
      </c>
      <c r="B1069">
        <v>23597.5</v>
      </c>
      <c r="C1069">
        <v>38.463099999999997</v>
      </c>
      <c r="D1069">
        <v>29.378399999999999</v>
      </c>
      <c r="E1069">
        <v>715.45699999999999</v>
      </c>
      <c r="F1069">
        <v>572.20699999999999</v>
      </c>
      <c r="G1069">
        <f t="shared" si="41"/>
        <v>0.85128783412569353</v>
      </c>
      <c r="H1069">
        <f t="shared" si="42"/>
        <v>0.67925121292158308</v>
      </c>
    </row>
    <row r="1070" spans="1:8" x14ac:dyDescent="0.2">
      <c r="A1070">
        <v>31504.799999999999</v>
      </c>
      <c r="B1070">
        <v>20032.8</v>
      </c>
      <c r="C1070">
        <v>32.112299999999998</v>
      </c>
      <c r="D1070">
        <v>32.772399999999998</v>
      </c>
      <c r="E1070">
        <v>641.87199999999996</v>
      </c>
      <c r="F1070">
        <v>509.80399999999997</v>
      </c>
      <c r="G1070">
        <f t="shared" si="41"/>
        <v>0.96092471123715517</v>
      </c>
      <c r="H1070">
        <f t="shared" si="42"/>
        <v>0.72645035179936557</v>
      </c>
    </row>
    <row r="1071" spans="1:8" x14ac:dyDescent="0.2">
      <c r="A1071">
        <v>28210.2</v>
      </c>
      <c r="B1071">
        <v>25032.5</v>
      </c>
      <c r="C1071">
        <v>27.533000000000001</v>
      </c>
      <c r="D1071">
        <v>218.72800000000001</v>
      </c>
      <c r="E1071">
        <v>638.52</v>
      </c>
      <c r="F1071">
        <v>1306.29</v>
      </c>
      <c r="G1071">
        <f t="shared" si="41"/>
        <v>0.86949412598714959</v>
      </c>
      <c r="H1071">
        <f t="shared" si="42"/>
        <v>0.13825975436647511</v>
      </c>
    </row>
    <row r="1072" spans="1:8" x14ac:dyDescent="0.2">
      <c r="A1072">
        <v>35139.800000000003</v>
      </c>
      <c r="B1072">
        <v>24636.5</v>
      </c>
      <c r="C1072">
        <v>59.689500000000002</v>
      </c>
      <c r="D1072">
        <v>26.436699999999998</v>
      </c>
      <c r="E1072">
        <v>748</v>
      </c>
      <c r="F1072">
        <v>564.37800000000004</v>
      </c>
      <c r="G1072">
        <f t="shared" si="41"/>
        <v>0.78923363752180509</v>
      </c>
      <c r="H1072">
        <f t="shared" si="42"/>
        <v>0.72896993621289607</v>
      </c>
    </row>
    <row r="1073" spans="1:8" x14ac:dyDescent="0.2">
      <c r="A1073">
        <v>27906.2</v>
      </c>
      <c r="B1073">
        <v>30428.9</v>
      </c>
      <c r="C1073">
        <v>27.024899999999999</v>
      </c>
      <c r="D1073">
        <v>22.631900000000002</v>
      </c>
      <c r="E1073">
        <v>610.59</v>
      </c>
      <c r="F1073">
        <v>639.08600000000001</v>
      </c>
      <c r="G1073">
        <f t="shared" si="41"/>
        <v>0.94061267133539872</v>
      </c>
      <c r="H1073">
        <f t="shared" si="42"/>
        <v>0.70216375167130307</v>
      </c>
    </row>
    <row r="1074" spans="1:8" x14ac:dyDescent="0.2">
      <c r="A1074">
        <v>31493.4</v>
      </c>
      <c r="B1074">
        <v>29610.400000000001</v>
      </c>
      <c r="C1074">
        <v>46.415100000000002</v>
      </c>
      <c r="D1074">
        <v>34.370800000000003</v>
      </c>
      <c r="E1074">
        <v>660.61400000000003</v>
      </c>
      <c r="F1074">
        <v>634.12400000000002</v>
      </c>
      <c r="G1074">
        <f t="shared" si="41"/>
        <v>0.90684591292747641</v>
      </c>
      <c r="H1074">
        <f t="shared" si="42"/>
        <v>0.6940114791767894</v>
      </c>
    </row>
    <row r="1075" spans="1:8" x14ac:dyDescent="0.2">
      <c r="A1075">
        <v>30206.3</v>
      </c>
      <c r="B1075">
        <v>41219.9</v>
      </c>
      <c r="C1075">
        <v>46.258400000000002</v>
      </c>
      <c r="D1075">
        <v>19.088000000000001</v>
      </c>
      <c r="E1075">
        <v>663.57799999999997</v>
      </c>
      <c r="F1075">
        <v>730.56600000000003</v>
      </c>
      <c r="G1075">
        <f t="shared" si="41"/>
        <v>0.86203136958834914</v>
      </c>
      <c r="H1075">
        <f t="shared" si="42"/>
        <v>0.72787831529028157</v>
      </c>
    </row>
    <row r="1076" spans="1:8" x14ac:dyDescent="0.2">
      <c r="A1076">
        <v>31472.1</v>
      </c>
      <c r="B1076">
        <v>35170.6</v>
      </c>
      <c r="C1076">
        <v>39.118000000000002</v>
      </c>
      <c r="D1076">
        <v>117.08199999999999</v>
      </c>
      <c r="E1076">
        <v>672.274</v>
      </c>
      <c r="F1076">
        <v>941.22699999999998</v>
      </c>
      <c r="G1076">
        <f t="shared" si="41"/>
        <v>0.87506958447238248</v>
      </c>
      <c r="H1076">
        <f t="shared" si="42"/>
        <v>0.37416381431328816</v>
      </c>
    </row>
    <row r="1077" spans="1:8" x14ac:dyDescent="0.2">
      <c r="A1077">
        <v>47517.599999999999</v>
      </c>
      <c r="B1077">
        <v>5208.12</v>
      </c>
      <c r="C1077">
        <v>53.002499999999998</v>
      </c>
      <c r="D1077">
        <v>85.090100000000007</v>
      </c>
      <c r="E1077">
        <v>832.06500000000005</v>
      </c>
      <c r="F1077">
        <v>1322.54</v>
      </c>
      <c r="G1077">
        <f t="shared" si="41"/>
        <v>0.86248089976351527</v>
      </c>
      <c r="H1077">
        <f t="shared" si="42"/>
        <v>2.8063000930957625E-2</v>
      </c>
    </row>
    <row r="1078" spans="1:8" x14ac:dyDescent="0.2">
      <c r="A1078">
        <v>34362.400000000001</v>
      </c>
      <c r="B1078">
        <v>2001.07</v>
      </c>
      <c r="C1078">
        <v>43.857300000000002</v>
      </c>
      <c r="D1078">
        <v>62.913699999999999</v>
      </c>
      <c r="E1078">
        <v>721.50699999999995</v>
      </c>
      <c r="F1078">
        <v>768.59</v>
      </c>
      <c r="G1078">
        <f t="shared" si="41"/>
        <v>0.82949140113543018</v>
      </c>
      <c r="H1078">
        <f t="shared" si="42"/>
        <v>3.1925931861018518E-2</v>
      </c>
    </row>
    <row r="1079" spans="1:8" x14ac:dyDescent="0.2">
      <c r="A1079">
        <v>31458.5</v>
      </c>
      <c r="B1079">
        <v>22534.3</v>
      </c>
      <c r="C1079">
        <v>50.730600000000003</v>
      </c>
      <c r="D1079">
        <v>26.773099999999999</v>
      </c>
      <c r="E1079">
        <v>718.63</v>
      </c>
      <c r="F1079">
        <v>536.34</v>
      </c>
      <c r="G1079">
        <f t="shared" si="41"/>
        <v>0.76548524036060139</v>
      </c>
      <c r="H1079">
        <f t="shared" si="42"/>
        <v>0.73830270068105197</v>
      </c>
    </row>
    <row r="1080" spans="1:8" x14ac:dyDescent="0.2">
      <c r="A1080">
        <v>39108</v>
      </c>
      <c r="B1080">
        <v>22300.799999999999</v>
      </c>
      <c r="C1080">
        <v>68.019900000000007</v>
      </c>
      <c r="D1080">
        <v>30.674900000000001</v>
      </c>
      <c r="E1080">
        <v>765.32899999999995</v>
      </c>
      <c r="F1080">
        <v>540.80200000000002</v>
      </c>
      <c r="G1080">
        <f t="shared" si="41"/>
        <v>0.83903246151844635</v>
      </c>
      <c r="H1080">
        <f t="shared" si="42"/>
        <v>0.71864535910900051</v>
      </c>
    </row>
    <row r="1081" spans="1:8" x14ac:dyDescent="0.2">
      <c r="A1081">
        <v>24176.5</v>
      </c>
      <c r="B1081">
        <v>19194.400000000001</v>
      </c>
      <c r="C1081">
        <v>25.6326</v>
      </c>
      <c r="D1081">
        <v>30.2498</v>
      </c>
      <c r="E1081">
        <v>561.07100000000003</v>
      </c>
      <c r="F1081">
        <v>504.88299999999998</v>
      </c>
      <c r="G1081">
        <f t="shared" si="41"/>
        <v>0.96508881444152506</v>
      </c>
      <c r="H1081">
        <f t="shared" si="42"/>
        <v>0.7096820260687513</v>
      </c>
    </row>
    <row r="1082" spans="1:8" x14ac:dyDescent="0.2">
      <c r="A1082">
        <v>4110.93</v>
      </c>
      <c r="B1082">
        <v>17655.5</v>
      </c>
      <c r="C1082">
        <v>177.208</v>
      </c>
      <c r="D1082">
        <v>36.179299999999998</v>
      </c>
      <c r="E1082">
        <v>1261.94</v>
      </c>
      <c r="F1082">
        <v>503.74799999999999</v>
      </c>
      <c r="G1082">
        <f t="shared" si="41"/>
        <v>3.2439351677736143E-2</v>
      </c>
      <c r="H1082">
        <f t="shared" si="42"/>
        <v>0.65572857868896683</v>
      </c>
    </row>
    <row r="1083" spans="1:8" x14ac:dyDescent="0.2">
      <c r="A1083">
        <v>27468.2</v>
      </c>
      <c r="B1083">
        <v>2153.65</v>
      </c>
      <c r="C1083">
        <v>34.927900000000001</v>
      </c>
      <c r="D1083">
        <v>68.150599999999997</v>
      </c>
      <c r="E1083">
        <v>601.80799999999999</v>
      </c>
      <c r="F1083">
        <v>792.28</v>
      </c>
      <c r="G1083">
        <f t="shared" si="41"/>
        <v>0.95306777350463878</v>
      </c>
      <c r="H1083">
        <f t="shared" si="42"/>
        <v>3.2336164102900557E-2</v>
      </c>
    </row>
    <row r="1084" spans="1:8" x14ac:dyDescent="0.2">
      <c r="A1084">
        <v>28755.9</v>
      </c>
      <c r="B1084">
        <v>17488.099999999999</v>
      </c>
      <c r="C1084">
        <v>43.622900000000001</v>
      </c>
      <c r="D1084">
        <v>29.916</v>
      </c>
      <c r="E1084">
        <v>624.98199999999997</v>
      </c>
      <c r="F1084">
        <v>486.53699999999998</v>
      </c>
      <c r="G1084">
        <f t="shared" si="41"/>
        <v>0.9251271848599506</v>
      </c>
      <c r="H1084">
        <f t="shared" si="42"/>
        <v>0.69627634788412529</v>
      </c>
    </row>
    <row r="1085" spans="1:8" x14ac:dyDescent="0.2">
      <c r="A1085">
        <v>29770.1</v>
      </c>
      <c r="B1085">
        <v>35739.599999999999</v>
      </c>
      <c r="C1085">
        <v>36.163899999999998</v>
      </c>
      <c r="D1085">
        <v>46.497</v>
      </c>
      <c r="E1085">
        <v>637.00699999999995</v>
      </c>
      <c r="F1085">
        <v>710.54300000000001</v>
      </c>
      <c r="G1085">
        <f t="shared" si="41"/>
        <v>0.92193728932983765</v>
      </c>
      <c r="H1085">
        <f t="shared" si="42"/>
        <v>0.66717492814133483</v>
      </c>
    </row>
    <row r="1086" spans="1:8" x14ac:dyDescent="0.2">
      <c r="A1086">
        <v>30872.6</v>
      </c>
      <c r="B1086">
        <v>22115.3</v>
      </c>
      <c r="C1086">
        <v>40.029499999999999</v>
      </c>
      <c r="D1086">
        <v>26.223199999999999</v>
      </c>
      <c r="E1086">
        <v>637.971</v>
      </c>
      <c r="F1086">
        <v>539.15499999999997</v>
      </c>
      <c r="G1086">
        <f t="shared" si="41"/>
        <v>0.95319296411888876</v>
      </c>
      <c r="H1086">
        <f t="shared" si="42"/>
        <v>0.71702834042631092</v>
      </c>
    </row>
    <row r="1087" spans="1:8" x14ac:dyDescent="0.2">
      <c r="A1087">
        <v>26145.5</v>
      </c>
      <c r="B1087">
        <v>8760.4</v>
      </c>
      <c r="C1087">
        <v>30.278700000000001</v>
      </c>
      <c r="D1087">
        <v>130.90600000000001</v>
      </c>
      <c r="E1087">
        <v>588.976</v>
      </c>
      <c r="F1087">
        <v>977.25</v>
      </c>
      <c r="G1087">
        <f t="shared" si="41"/>
        <v>0.94713361888188963</v>
      </c>
      <c r="H1087">
        <f t="shared" si="42"/>
        <v>8.6453651063615897E-2</v>
      </c>
    </row>
    <row r="1088" spans="1:8" x14ac:dyDescent="0.2">
      <c r="A1088">
        <v>28949.3</v>
      </c>
      <c r="B1088">
        <v>24537.7</v>
      </c>
      <c r="C1088">
        <v>38.762999999999998</v>
      </c>
      <c r="D1088">
        <v>28.700199999999999</v>
      </c>
      <c r="E1088">
        <v>617.00900000000001</v>
      </c>
      <c r="F1088">
        <v>566.41499999999996</v>
      </c>
      <c r="G1088">
        <f t="shared" si="41"/>
        <v>0.95557453159889183</v>
      </c>
      <c r="H1088">
        <f t="shared" si="42"/>
        <v>0.72083376430474189</v>
      </c>
    </row>
    <row r="1089" spans="1:8" x14ac:dyDescent="0.2">
      <c r="A1089">
        <v>29900.799999999999</v>
      </c>
      <c r="B1089">
        <v>24258.3</v>
      </c>
      <c r="C1089">
        <v>28.4724</v>
      </c>
      <c r="D1089">
        <v>199.822</v>
      </c>
      <c r="E1089">
        <v>618.50099999999998</v>
      </c>
      <c r="F1089">
        <v>1442.25</v>
      </c>
      <c r="G1089">
        <f t="shared" si="41"/>
        <v>0.98222615168198579</v>
      </c>
      <c r="H1089">
        <f t="shared" si="42"/>
        <v>0.10991324451713376</v>
      </c>
    </row>
    <row r="1090" spans="1:8" x14ac:dyDescent="0.2">
      <c r="A1090">
        <v>22162.6</v>
      </c>
      <c r="B1090">
        <v>19253.900000000001</v>
      </c>
      <c r="C1090">
        <v>27.654</v>
      </c>
      <c r="D1090">
        <v>26.354399999999998</v>
      </c>
      <c r="E1090">
        <v>549.27</v>
      </c>
      <c r="F1090">
        <v>505.64299999999997</v>
      </c>
      <c r="G1090">
        <f t="shared" si="41"/>
        <v>0.92312060844167398</v>
      </c>
      <c r="H1090">
        <f t="shared" si="42"/>
        <v>0.70974358155497197</v>
      </c>
    </row>
    <row r="1091" spans="1:8" x14ac:dyDescent="0.2">
      <c r="A1091">
        <v>23728.5</v>
      </c>
      <c r="B1091">
        <v>36927.599999999999</v>
      </c>
      <c r="C1091">
        <v>28.042400000000001</v>
      </c>
      <c r="D1091">
        <v>30.938800000000001</v>
      </c>
      <c r="E1091">
        <v>570.75300000000004</v>
      </c>
      <c r="F1091">
        <v>697.25599999999997</v>
      </c>
      <c r="G1091">
        <f t="shared" ref="G1091:G1154" si="43" xml:space="preserve"> 3.14159*4*A1091/(E1091*E1091)</f>
        <v>0.91534197106206572</v>
      </c>
      <c r="H1091">
        <f t="shared" ref="H1091:H1126" si="44" xml:space="preserve"> 3*3.14159*B1091/(F1091*F1091)</f>
        <v>0.71587520948694638</v>
      </c>
    </row>
    <row r="1092" spans="1:8" x14ac:dyDescent="0.2">
      <c r="A1092">
        <v>29696.799999999999</v>
      </c>
      <c r="B1092">
        <v>46322.8</v>
      </c>
      <c r="C1092">
        <v>30.258500000000002</v>
      </c>
      <c r="D1092">
        <v>33.771599999999999</v>
      </c>
      <c r="E1092">
        <v>628.69799999999998</v>
      </c>
      <c r="F1092">
        <v>781.26</v>
      </c>
      <c r="G1092">
        <f t="shared" si="43"/>
        <v>0.94413694807084481</v>
      </c>
      <c r="H1092">
        <f t="shared" si="44"/>
        <v>0.71527720464900035</v>
      </c>
    </row>
    <row r="1093" spans="1:8" x14ac:dyDescent="0.2">
      <c r="A1093">
        <v>29073.8</v>
      </c>
      <c r="B1093">
        <v>41921.699999999997</v>
      </c>
      <c r="C1093">
        <v>32.036200000000001</v>
      </c>
      <c r="D1093">
        <v>57.952199999999998</v>
      </c>
      <c r="E1093">
        <v>673.12599999999998</v>
      </c>
      <c r="F1093">
        <v>819.745</v>
      </c>
      <c r="G1093">
        <f t="shared" si="43"/>
        <v>0.80634066799565973</v>
      </c>
      <c r="H1093">
        <f t="shared" si="44"/>
        <v>0.58796583817675008</v>
      </c>
    </row>
    <row r="1094" spans="1:8" x14ac:dyDescent="0.2">
      <c r="A1094">
        <v>26232.6</v>
      </c>
      <c r="B1094">
        <v>41612.1</v>
      </c>
      <c r="C1094">
        <v>20.096</v>
      </c>
      <c r="D1094">
        <v>43.691699999999997</v>
      </c>
      <c r="E1094">
        <v>580.33600000000001</v>
      </c>
      <c r="F1094">
        <v>769.471</v>
      </c>
      <c r="G1094">
        <f t="shared" si="43"/>
        <v>0.97879515349261914</v>
      </c>
      <c r="H1094">
        <f t="shared" si="44"/>
        <v>0.66237797131826659</v>
      </c>
    </row>
    <row r="1095" spans="1:8" x14ac:dyDescent="0.2">
      <c r="A1095">
        <v>22581.4</v>
      </c>
      <c r="B1095">
        <v>33381.4</v>
      </c>
      <c r="C1095">
        <v>39.0976</v>
      </c>
      <c r="D1095">
        <v>30.4938</v>
      </c>
      <c r="E1095">
        <v>550.11699999999996</v>
      </c>
      <c r="F1095">
        <v>656.54499999999996</v>
      </c>
      <c r="G1095">
        <f t="shared" si="43"/>
        <v>0.93767044853389414</v>
      </c>
      <c r="H1095">
        <f t="shared" si="44"/>
        <v>0.72987134073024162</v>
      </c>
    </row>
    <row r="1096" spans="1:8" x14ac:dyDescent="0.2">
      <c r="A1096">
        <v>19413.3</v>
      </c>
      <c r="B1096">
        <v>36481</v>
      </c>
      <c r="C1096">
        <v>27.481999999999999</v>
      </c>
      <c r="D1096">
        <v>25.087299999999999</v>
      </c>
      <c r="E1096">
        <v>499.79700000000003</v>
      </c>
      <c r="F1096">
        <v>683.41600000000005</v>
      </c>
      <c r="G1096">
        <f t="shared" si="43"/>
        <v>0.97661091343307094</v>
      </c>
      <c r="H1096">
        <f t="shared" si="44"/>
        <v>0.73615151581022253</v>
      </c>
    </row>
    <row r="1097" spans="1:8" x14ac:dyDescent="0.2">
      <c r="A1097">
        <v>34023.9</v>
      </c>
      <c r="B1097">
        <v>30067.7</v>
      </c>
      <c r="C1097">
        <v>39.4208</v>
      </c>
      <c r="D1097">
        <v>34.652999999999999</v>
      </c>
      <c r="E1097">
        <v>670.66800000000001</v>
      </c>
      <c r="F1097">
        <v>636.34500000000003</v>
      </c>
      <c r="G1097">
        <f t="shared" si="43"/>
        <v>0.95055756016740089</v>
      </c>
      <c r="H1097">
        <f t="shared" si="44"/>
        <v>0.69981894774243114</v>
      </c>
    </row>
    <row r="1098" spans="1:8" x14ac:dyDescent="0.2">
      <c r="A1098">
        <v>32434.3</v>
      </c>
      <c r="B1098">
        <v>26938.3</v>
      </c>
      <c r="C1098">
        <v>39.627899999999997</v>
      </c>
      <c r="D1098">
        <v>31.909800000000001</v>
      </c>
      <c r="E1098">
        <v>675.05799999999999</v>
      </c>
      <c r="F1098">
        <v>599.12900000000002</v>
      </c>
      <c r="G1098">
        <f t="shared" si="43"/>
        <v>0.89440012205142683</v>
      </c>
      <c r="H1098">
        <f t="shared" si="44"/>
        <v>0.70729447024643699</v>
      </c>
    </row>
    <row r="1099" spans="1:8" x14ac:dyDescent="0.2">
      <c r="A1099">
        <v>27228.3</v>
      </c>
      <c r="B1099">
        <v>28663.599999999999</v>
      </c>
      <c r="C1099">
        <v>39.679299999999998</v>
      </c>
      <c r="D1099">
        <v>30.007000000000001</v>
      </c>
      <c r="E1099">
        <v>618.875</v>
      </c>
      <c r="F1099">
        <v>617.79200000000003</v>
      </c>
      <c r="G1099">
        <f t="shared" si="43"/>
        <v>0.893355150286257</v>
      </c>
      <c r="H1099">
        <f t="shared" si="44"/>
        <v>0.70781039240124399</v>
      </c>
    </row>
    <row r="1100" spans="1:8" x14ac:dyDescent="0.2">
      <c r="A1100">
        <v>28365.599999999999</v>
      </c>
      <c r="B1100">
        <v>34365.4</v>
      </c>
      <c r="C1100">
        <v>41.7455</v>
      </c>
      <c r="D1100">
        <v>43.507100000000001</v>
      </c>
      <c r="E1100">
        <v>640.81600000000003</v>
      </c>
      <c r="F1100">
        <v>707.77200000000005</v>
      </c>
      <c r="G1100">
        <f t="shared" si="43"/>
        <v>0.86803008586151964</v>
      </c>
      <c r="H1100">
        <f t="shared" si="44"/>
        <v>0.64655490181706987</v>
      </c>
    </row>
    <row r="1101" spans="1:8" x14ac:dyDescent="0.2">
      <c r="A1101">
        <v>32563.8</v>
      </c>
      <c r="B1101">
        <v>40281.599999999999</v>
      </c>
      <c r="C1101">
        <v>37.441899999999997</v>
      </c>
      <c r="D1101">
        <v>52.206800000000001</v>
      </c>
      <c r="E1101">
        <v>663.44299999999998</v>
      </c>
      <c r="F1101">
        <v>764.84100000000001</v>
      </c>
      <c r="G1101">
        <f t="shared" si="43"/>
        <v>0.92968825304646596</v>
      </c>
      <c r="H1101">
        <f t="shared" si="44"/>
        <v>0.64898573640067614</v>
      </c>
    </row>
    <row r="1102" spans="1:8" x14ac:dyDescent="0.2">
      <c r="A1102">
        <v>43716.6</v>
      </c>
      <c r="B1102">
        <v>41362.9</v>
      </c>
      <c r="C1102">
        <v>46.694499999999998</v>
      </c>
      <c r="D1102">
        <v>41.167999999999999</v>
      </c>
      <c r="E1102">
        <v>781.69500000000005</v>
      </c>
      <c r="F1102">
        <v>744.46299999999997</v>
      </c>
      <c r="G1102">
        <f t="shared" si="43"/>
        <v>0.89904453818327001</v>
      </c>
      <c r="H1102">
        <f t="shared" si="44"/>
        <v>0.70338889014029482</v>
      </c>
    </row>
    <row r="1103" spans="1:8" x14ac:dyDescent="0.2">
      <c r="A1103">
        <v>28475.4</v>
      </c>
      <c r="B1103">
        <v>44939.9</v>
      </c>
      <c r="C1103">
        <v>26.370100000000001</v>
      </c>
      <c r="D1103">
        <v>61.373699999999999</v>
      </c>
      <c r="E1103">
        <v>605.93299999999999</v>
      </c>
      <c r="F1103">
        <v>815.29200000000003</v>
      </c>
      <c r="G1103">
        <f t="shared" si="43"/>
        <v>0.97460833160132054</v>
      </c>
      <c r="H1103">
        <f t="shared" si="44"/>
        <v>0.63720107609395871</v>
      </c>
    </row>
    <row r="1104" spans="1:8" x14ac:dyDescent="0.2">
      <c r="A1104">
        <v>49540.3</v>
      </c>
      <c r="B1104">
        <v>37315.800000000003</v>
      </c>
      <c r="C1104">
        <v>70.505499999999998</v>
      </c>
      <c r="D1104">
        <v>22.9758</v>
      </c>
      <c r="E1104">
        <v>1032.51</v>
      </c>
      <c r="F1104">
        <v>700.13199999999995</v>
      </c>
      <c r="G1104">
        <f t="shared" si="43"/>
        <v>0.58395528901302007</v>
      </c>
      <c r="H1104">
        <f t="shared" si="44"/>
        <v>0.71746986007074309</v>
      </c>
    </row>
    <row r="1105" spans="1:8" x14ac:dyDescent="0.2">
      <c r="A1105">
        <v>26447.4</v>
      </c>
      <c r="B1105">
        <v>38893.5</v>
      </c>
      <c r="C1105">
        <v>36.239600000000003</v>
      </c>
      <c r="D1105">
        <v>41.8367</v>
      </c>
      <c r="E1105">
        <v>601.78899999999999</v>
      </c>
      <c r="F1105">
        <v>745.87300000000005</v>
      </c>
      <c r="G1105">
        <f t="shared" si="43"/>
        <v>0.91770688661017452</v>
      </c>
      <c r="H1105">
        <f t="shared" si="44"/>
        <v>0.65889773509849814</v>
      </c>
    </row>
    <row r="1106" spans="1:8" x14ac:dyDescent="0.2">
      <c r="A1106">
        <v>2651.84</v>
      </c>
      <c r="B1106">
        <v>41513.4</v>
      </c>
      <c r="C1106">
        <v>121.34699999999999</v>
      </c>
      <c r="D1106">
        <v>38.843400000000003</v>
      </c>
      <c r="E1106">
        <v>450.95100000000002</v>
      </c>
      <c r="F1106">
        <v>743.678</v>
      </c>
      <c r="G1106">
        <f t="shared" si="43"/>
        <v>0.16386949136301499</v>
      </c>
      <c r="H1106">
        <f t="shared" si="44"/>
        <v>0.70743932321552594</v>
      </c>
    </row>
    <row r="1107" spans="1:8" x14ac:dyDescent="0.2">
      <c r="A1107">
        <v>3058.91</v>
      </c>
      <c r="B1107">
        <v>35910</v>
      </c>
      <c r="C1107">
        <v>172.83699999999999</v>
      </c>
      <c r="D1107">
        <v>31.639800000000001</v>
      </c>
      <c r="E1107">
        <v>1073.6400000000001</v>
      </c>
      <c r="F1107">
        <v>705.03099999999995</v>
      </c>
      <c r="G1107">
        <f t="shared" si="43"/>
        <v>3.3347158186464838E-2</v>
      </c>
      <c r="H1107">
        <f t="shared" si="44"/>
        <v>0.68087868585748557</v>
      </c>
    </row>
    <row r="1108" spans="1:8" x14ac:dyDescent="0.2">
      <c r="A1108">
        <v>3238.86</v>
      </c>
      <c r="B1108">
        <v>30411.5</v>
      </c>
      <c r="C1108">
        <v>93.370500000000007</v>
      </c>
      <c r="D1108">
        <v>34.723500000000001</v>
      </c>
      <c r="E1108">
        <v>1050.05</v>
      </c>
      <c r="F1108">
        <v>641.65099999999995</v>
      </c>
      <c r="G1108">
        <f t="shared" si="43"/>
        <v>3.6913201606483731E-2</v>
      </c>
      <c r="H1108">
        <f t="shared" si="44"/>
        <v>0.69616286181872766</v>
      </c>
    </row>
    <row r="1109" spans="1:8" x14ac:dyDescent="0.2">
      <c r="A1109">
        <v>37312.6</v>
      </c>
      <c r="B1109">
        <v>31969.5</v>
      </c>
      <c r="C1109">
        <v>28.329499999999999</v>
      </c>
      <c r="D1109">
        <v>26.461600000000001</v>
      </c>
      <c r="E1109">
        <v>700.71199999999999</v>
      </c>
      <c r="F1109">
        <v>643.14200000000005</v>
      </c>
      <c r="G1109">
        <f t="shared" si="43"/>
        <v>0.95496158024646316</v>
      </c>
      <c r="H1109">
        <f t="shared" si="44"/>
        <v>0.72843844881654507</v>
      </c>
    </row>
    <row r="1110" spans="1:8" x14ac:dyDescent="0.2">
      <c r="A1110">
        <v>41623.599999999999</v>
      </c>
      <c r="B1110">
        <v>44200.800000000003</v>
      </c>
      <c r="C1110">
        <v>70.878299999999996</v>
      </c>
      <c r="D1110">
        <v>77.702200000000005</v>
      </c>
      <c r="E1110">
        <v>836.59400000000005</v>
      </c>
      <c r="F1110">
        <v>994.78599999999994</v>
      </c>
      <c r="G1110">
        <f t="shared" si="43"/>
        <v>0.74734243980567339</v>
      </c>
      <c r="H1110">
        <f t="shared" si="44"/>
        <v>0.42096070792632601</v>
      </c>
    </row>
    <row r="1111" spans="1:8" x14ac:dyDescent="0.2">
      <c r="A1111">
        <v>43750.8</v>
      </c>
      <c r="B1111">
        <v>31144</v>
      </c>
      <c r="C1111">
        <v>30.561299999999999</v>
      </c>
      <c r="D1111">
        <v>64.875600000000006</v>
      </c>
      <c r="E1111">
        <v>756.92499999999995</v>
      </c>
      <c r="F1111">
        <v>1078.8599999999999</v>
      </c>
      <c r="G1111">
        <f t="shared" si="43"/>
        <v>0.95959902235104422</v>
      </c>
      <c r="H1111">
        <f t="shared" si="44"/>
        <v>0.25218251317218887</v>
      </c>
    </row>
    <row r="1112" spans="1:8" x14ac:dyDescent="0.2">
      <c r="A1112">
        <v>38002.1</v>
      </c>
      <c r="B1112">
        <v>32003.8</v>
      </c>
      <c r="C1112">
        <v>33.117800000000003</v>
      </c>
      <c r="D1112">
        <v>30.029800000000002</v>
      </c>
      <c r="E1112">
        <v>704.11599999999999</v>
      </c>
      <c r="F1112">
        <v>648.56899999999996</v>
      </c>
      <c r="G1112">
        <f t="shared" si="43"/>
        <v>0.96322704361489009</v>
      </c>
      <c r="H1112">
        <f t="shared" si="44"/>
        <v>0.71706732803273499</v>
      </c>
    </row>
    <row r="1113" spans="1:8" x14ac:dyDescent="0.2">
      <c r="A1113">
        <v>33563.599999999999</v>
      </c>
      <c r="B1113">
        <v>33544.199999999997</v>
      </c>
      <c r="C1113">
        <v>38.581499999999998</v>
      </c>
      <c r="D1113">
        <v>19.468599999999999</v>
      </c>
      <c r="E1113">
        <v>695.62400000000002</v>
      </c>
      <c r="F1113">
        <v>669.68600000000004</v>
      </c>
      <c r="G1113">
        <f t="shared" si="43"/>
        <v>0.87162347656560879</v>
      </c>
      <c r="H1113">
        <f t="shared" si="44"/>
        <v>0.70492962022224059</v>
      </c>
    </row>
    <row r="1114" spans="1:8" x14ac:dyDescent="0.2">
      <c r="A1114">
        <v>45366.400000000001</v>
      </c>
      <c r="B1114">
        <v>4592.18</v>
      </c>
      <c r="C1114">
        <v>30.741</v>
      </c>
      <c r="D1114">
        <v>274.87200000000001</v>
      </c>
      <c r="E1114">
        <v>809.79399999999998</v>
      </c>
      <c r="F1114">
        <v>553.38699999999994</v>
      </c>
      <c r="G1114">
        <f t="shared" si="43"/>
        <v>0.86935009438463251</v>
      </c>
      <c r="H1114">
        <f t="shared" si="44"/>
        <v>0.14132915363797519</v>
      </c>
    </row>
    <row r="1115" spans="1:8" x14ac:dyDescent="0.2">
      <c r="A1115">
        <v>29824.7</v>
      </c>
      <c r="B1115">
        <v>26407.200000000001</v>
      </c>
      <c r="C1115">
        <v>94.954300000000003</v>
      </c>
      <c r="D1115">
        <v>35.844799999999999</v>
      </c>
      <c r="E1115">
        <v>683.66600000000005</v>
      </c>
      <c r="F1115">
        <v>605.6</v>
      </c>
      <c r="G1115">
        <f t="shared" si="43"/>
        <v>0.80185827756663908</v>
      </c>
      <c r="H1115">
        <f t="shared" si="44"/>
        <v>0.67861176123245992</v>
      </c>
    </row>
    <row r="1116" spans="1:8" x14ac:dyDescent="0.2">
      <c r="A1116">
        <v>37112.199999999997</v>
      </c>
      <c r="B1116">
        <v>37188.800000000003</v>
      </c>
      <c r="C1116">
        <v>154.72200000000001</v>
      </c>
      <c r="D1116">
        <v>49.286299999999997</v>
      </c>
      <c r="E1116">
        <v>1465.86</v>
      </c>
      <c r="F1116">
        <v>826.94399999999996</v>
      </c>
      <c r="G1116">
        <f t="shared" si="43"/>
        <v>0.21704071375469441</v>
      </c>
      <c r="H1116">
        <f t="shared" si="44"/>
        <v>0.51254349325322168</v>
      </c>
    </row>
    <row r="1117" spans="1:8" x14ac:dyDescent="0.2">
      <c r="A1117">
        <v>40947.699999999997</v>
      </c>
      <c r="B1117">
        <v>23934.9</v>
      </c>
      <c r="C1117">
        <v>190.82599999999999</v>
      </c>
      <c r="D1117">
        <v>28.216899999999999</v>
      </c>
      <c r="E1117">
        <v>1265.43</v>
      </c>
      <c r="F1117">
        <v>555.65899999999999</v>
      </c>
      <c r="G1117">
        <f t="shared" si="43"/>
        <v>0.3213384966526604</v>
      </c>
      <c r="H1117">
        <f t="shared" si="44"/>
        <v>0.73061010048052744</v>
      </c>
    </row>
    <row r="1118" spans="1:8" x14ac:dyDescent="0.2">
      <c r="A1118">
        <v>41823.4</v>
      </c>
      <c r="B1118">
        <v>26585.8</v>
      </c>
      <c r="C1118">
        <v>26.744399999999999</v>
      </c>
      <c r="D1118">
        <v>29.934899999999999</v>
      </c>
      <c r="E1118">
        <v>745.29499999999996</v>
      </c>
      <c r="F1118">
        <v>603.61500000000001</v>
      </c>
      <c r="G1118">
        <f t="shared" si="43"/>
        <v>0.94617706653456257</v>
      </c>
      <c r="H1118">
        <f t="shared" si="44"/>
        <v>0.68770225235422378</v>
      </c>
    </row>
    <row r="1119" spans="1:8" x14ac:dyDescent="0.2">
      <c r="A1119">
        <v>37799.1</v>
      </c>
      <c r="B1119">
        <v>30616.1</v>
      </c>
      <c r="C1119">
        <v>25.993099999999998</v>
      </c>
      <c r="D1119">
        <v>34.7226</v>
      </c>
      <c r="E1119">
        <v>707.39099999999996</v>
      </c>
      <c r="F1119">
        <v>650.30399999999997</v>
      </c>
      <c r="G1119">
        <f t="shared" si="43"/>
        <v>0.94923096382452998</v>
      </c>
      <c r="H1119">
        <f t="shared" si="44"/>
        <v>0.68231949130603009</v>
      </c>
    </row>
    <row r="1120" spans="1:8" x14ac:dyDescent="0.2">
      <c r="A1120">
        <v>43591.1</v>
      </c>
      <c r="B1120">
        <v>27230</v>
      </c>
      <c r="C1120">
        <v>30.314699999999998</v>
      </c>
      <c r="D1120">
        <v>38.191899999999997</v>
      </c>
      <c r="E1120">
        <v>755.72299999999996</v>
      </c>
      <c r="F1120">
        <v>624.91499999999996</v>
      </c>
      <c r="G1120">
        <f t="shared" si="43"/>
        <v>0.95914009387478083</v>
      </c>
      <c r="H1120">
        <f t="shared" si="44"/>
        <v>0.65716814455633732</v>
      </c>
    </row>
    <row r="1121" spans="1:8" x14ac:dyDescent="0.2">
      <c r="A1121">
        <v>35563</v>
      </c>
      <c r="B1121">
        <v>28088.7</v>
      </c>
      <c r="C1121">
        <v>94.533900000000003</v>
      </c>
      <c r="D1121">
        <v>131.59899999999999</v>
      </c>
      <c r="E1121">
        <v>774.25099999999998</v>
      </c>
      <c r="F1121">
        <v>951.44100000000003</v>
      </c>
      <c r="G1121">
        <f t="shared" si="43"/>
        <v>0.74549431689346968</v>
      </c>
      <c r="H1121">
        <f t="shared" si="44"/>
        <v>0.29244127963515354</v>
      </c>
    </row>
    <row r="1122" spans="1:8" x14ac:dyDescent="0.2">
      <c r="A1122">
        <v>22778.3</v>
      </c>
      <c r="B1122">
        <v>11018.4</v>
      </c>
      <c r="C1122">
        <v>199.41</v>
      </c>
      <c r="D1122">
        <v>127.40600000000001</v>
      </c>
      <c r="E1122">
        <v>1355.69</v>
      </c>
      <c r="F1122">
        <v>1157.5899999999999</v>
      </c>
      <c r="G1122">
        <f t="shared" si="43"/>
        <v>0.15574353236330554</v>
      </c>
      <c r="H1122">
        <f t="shared" si="44"/>
        <v>7.7496084848837993E-2</v>
      </c>
    </row>
    <row r="1123" spans="1:8" x14ac:dyDescent="0.2">
      <c r="A1123">
        <v>39885.9</v>
      </c>
      <c r="B1123">
        <v>47458.3</v>
      </c>
      <c r="C1123">
        <v>26.930800000000001</v>
      </c>
      <c r="D1123">
        <v>44.3992</v>
      </c>
      <c r="E1123">
        <v>723.43600000000004</v>
      </c>
      <c r="F1123">
        <v>881.32899999999995</v>
      </c>
      <c r="G1123">
        <f t="shared" si="43"/>
        <v>0.95769817574368532</v>
      </c>
      <c r="H1123">
        <f t="shared" si="44"/>
        <v>0.57584661253424729</v>
      </c>
    </row>
    <row r="1124" spans="1:8" x14ac:dyDescent="0.2">
      <c r="A1124">
        <v>39757.4</v>
      </c>
      <c r="B1124">
        <v>28268.7</v>
      </c>
      <c r="C1124">
        <v>25.257300000000001</v>
      </c>
      <c r="D1124">
        <v>27.492599999999999</v>
      </c>
      <c r="E1124">
        <v>728.28300000000002</v>
      </c>
      <c r="F1124">
        <v>605.77099999999996</v>
      </c>
      <c r="G1124">
        <f t="shared" si="43"/>
        <v>0.94194843175809639</v>
      </c>
      <c r="H1124">
        <f t="shared" si="44"/>
        <v>0.72603848248415859</v>
      </c>
    </row>
    <row r="1125" spans="1:8" x14ac:dyDescent="0.2">
      <c r="A1125">
        <v>41399</v>
      </c>
      <c r="B1125">
        <v>26911.8</v>
      </c>
      <c r="C1125">
        <v>35.420699999999997</v>
      </c>
      <c r="D1125">
        <v>37.883899999999997</v>
      </c>
      <c r="E1125">
        <v>824.51300000000003</v>
      </c>
      <c r="F1125">
        <v>608.73099999999999</v>
      </c>
      <c r="G1125">
        <f t="shared" si="43"/>
        <v>0.76525175271537405</v>
      </c>
      <c r="H1125">
        <f t="shared" si="44"/>
        <v>0.68448300435082088</v>
      </c>
    </row>
    <row r="1126" spans="1:8" x14ac:dyDescent="0.2">
      <c r="A1126">
        <v>38970.699999999997</v>
      </c>
      <c r="B1126">
        <v>26784.5</v>
      </c>
      <c r="C1126">
        <v>54.588299999999997</v>
      </c>
      <c r="D1126">
        <v>39.1096</v>
      </c>
      <c r="E1126">
        <v>841.16800000000001</v>
      </c>
      <c r="F1126">
        <v>615.33100000000002</v>
      </c>
      <c r="G1126">
        <f t="shared" si="43"/>
        <v>0.69212130574336994</v>
      </c>
      <c r="H1126">
        <f t="shared" si="44"/>
        <v>0.66670960813502167</v>
      </c>
    </row>
    <row r="1127" spans="1:8" x14ac:dyDescent="0.2">
      <c r="A1127">
        <v>39369.1</v>
      </c>
      <c r="C1127">
        <v>24.5321</v>
      </c>
      <c r="E1127">
        <v>718.33600000000001</v>
      </c>
      <c r="G1127">
        <f t="shared" si="43"/>
        <v>0.95875958746821188</v>
      </c>
    </row>
    <row r="1128" spans="1:8" x14ac:dyDescent="0.2">
      <c r="A1128">
        <v>43088.4</v>
      </c>
      <c r="C1128">
        <v>119.54</v>
      </c>
      <c r="E1128">
        <v>885.87300000000005</v>
      </c>
      <c r="G1128">
        <f t="shared" si="43"/>
        <v>0.68996479922679199</v>
      </c>
    </row>
    <row r="1129" spans="1:8" x14ac:dyDescent="0.2">
      <c r="A1129">
        <v>41361.800000000003</v>
      </c>
      <c r="C1129">
        <v>34.511699999999998</v>
      </c>
      <c r="E1129">
        <v>827.83299999999997</v>
      </c>
      <c r="G1129">
        <f t="shared" si="43"/>
        <v>0.75844389173449978</v>
      </c>
    </row>
    <row r="1130" spans="1:8" x14ac:dyDescent="0.2">
      <c r="A1130">
        <v>44322.1</v>
      </c>
      <c r="C1130">
        <v>34.807699999999997</v>
      </c>
      <c r="E1130">
        <v>768.55899999999997</v>
      </c>
      <c r="G1130">
        <f t="shared" si="43"/>
        <v>0.94292120214973496</v>
      </c>
    </row>
    <row r="1131" spans="1:8" x14ac:dyDescent="0.2">
      <c r="A1131">
        <v>41406.9</v>
      </c>
      <c r="C1131">
        <v>50.309100000000001</v>
      </c>
      <c r="E1131">
        <v>782.51400000000001</v>
      </c>
      <c r="G1131">
        <f t="shared" si="43"/>
        <v>0.84976332252537001</v>
      </c>
    </row>
    <row r="1132" spans="1:8" x14ac:dyDescent="0.2">
      <c r="A1132">
        <v>42936.5</v>
      </c>
      <c r="C1132">
        <v>79.754599999999996</v>
      </c>
      <c r="E1132">
        <v>853.28800000000001</v>
      </c>
      <c r="G1132">
        <f t="shared" si="43"/>
        <v>0.74104547673644772</v>
      </c>
    </row>
    <row r="1133" spans="1:8" x14ac:dyDescent="0.2">
      <c r="A1133">
        <v>23178.2</v>
      </c>
      <c r="C1133">
        <v>235.56700000000001</v>
      </c>
      <c r="E1133">
        <v>1374.7</v>
      </c>
      <c r="G1133">
        <f t="shared" si="43"/>
        <v>0.15412508809437087</v>
      </c>
    </row>
    <row r="1134" spans="1:8" x14ac:dyDescent="0.2">
      <c r="A1134">
        <v>44727.5</v>
      </c>
      <c r="C1134">
        <v>51.631100000000004</v>
      </c>
      <c r="E1134">
        <v>787.92100000000005</v>
      </c>
      <c r="G1134">
        <f t="shared" si="43"/>
        <v>0.90535472044789189</v>
      </c>
    </row>
    <row r="1135" spans="1:8" x14ac:dyDescent="0.2">
      <c r="A1135">
        <v>38494.699999999997</v>
      </c>
      <c r="C1135">
        <v>64.954599999999999</v>
      </c>
      <c r="E1135">
        <v>824.83500000000004</v>
      </c>
      <c r="G1135">
        <f t="shared" si="43"/>
        <v>0.71101092622132767</v>
      </c>
    </row>
    <row r="1136" spans="1:8" x14ac:dyDescent="0.2">
      <c r="A1136">
        <v>37441.599999999999</v>
      </c>
      <c r="C1136">
        <v>33.171599999999998</v>
      </c>
      <c r="E1136">
        <v>739.05899999999997</v>
      </c>
      <c r="G1136">
        <f t="shared" si="43"/>
        <v>0.86140160446997638</v>
      </c>
    </row>
    <row r="1137" spans="1:7" x14ac:dyDescent="0.2">
      <c r="A1137">
        <v>41330.1</v>
      </c>
      <c r="C1137">
        <v>22.226900000000001</v>
      </c>
      <c r="E1137">
        <v>744.22500000000002</v>
      </c>
      <c r="G1137">
        <f t="shared" si="43"/>
        <v>0.93770761694704219</v>
      </c>
    </row>
    <row r="1138" spans="1:7" x14ac:dyDescent="0.2">
      <c r="A1138">
        <v>23035.200000000001</v>
      </c>
      <c r="C1138">
        <v>233.11</v>
      </c>
      <c r="E1138">
        <v>1628.83</v>
      </c>
      <c r="G1138">
        <f t="shared" si="43"/>
        <v>0.10910633441117465</v>
      </c>
    </row>
    <row r="1139" spans="1:7" x14ac:dyDescent="0.2">
      <c r="A1139">
        <v>30971.3</v>
      </c>
      <c r="C1139">
        <v>107.066</v>
      </c>
      <c r="E1139">
        <v>888.62300000000005</v>
      </c>
      <c r="G1139">
        <f t="shared" si="43"/>
        <v>0.49287164359364966</v>
      </c>
    </row>
    <row r="1140" spans="1:7" x14ac:dyDescent="0.2">
      <c r="A1140">
        <v>37262</v>
      </c>
      <c r="C1140">
        <v>50.232100000000003</v>
      </c>
      <c r="E1140">
        <v>732.22799999999995</v>
      </c>
      <c r="G1140">
        <f t="shared" si="43"/>
        <v>0.87333928165746189</v>
      </c>
    </row>
    <row r="1141" spans="1:7" x14ac:dyDescent="0.2">
      <c r="A1141">
        <v>39963.300000000003</v>
      </c>
      <c r="C1141">
        <v>27.763300000000001</v>
      </c>
      <c r="E1141">
        <v>755.923</v>
      </c>
      <c r="G1141">
        <f t="shared" si="43"/>
        <v>0.87885195129766924</v>
      </c>
    </row>
    <row r="1142" spans="1:7" x14ac:dyDescent="0.2">
      <c r="A1142">
        <v>41931.300000000003</v>
      </c>
      <c r="C1142">
        <v>47.767800000000001</v>
      </c>
      <c r="E1142">
        <v>837.52300000000002</v>
      </c>
      <c r="G1142">
        <f t="shared" si="43"/>
        <v>0.75119785541294581</v>
      </c>
    </row>
    <row r="1143" spans="1:7" x14ac:dyDescent="0.2">
      <c r="A1143">
        <v>47252.800000000003</v>
      </c>
      <c r="C1143">
        <v>33.2363</v>
      </c>
      <c r="E1143">
        <v>795.02700000000004</v>
      </c>
      <c r="G1143">
        <f t="shared" si="43"/>
        <v>0.93944917458973376</v>
      </c>
    </row>
    <row r="1144" spans="1:7" x14ac:dyDescent="0.2">
      <c r="A1144">
        <v>46417.599999999999</v>
      </c>
      <c r="C1144">
        <v>51.2181</v>
      </c>
      <c r="E1144">
        <v>828.12300000000005</v>
      </c>
      <c r="G1144">
        <f t="shared" si="43"/>
        <v>0.85055516346328874</v>
      </c>
    </row>
    <row r="1145" spans="1:7" x14ac:dyDescent="0.2">
      <c r="A1145">
        <v>36973.699999999997</v>
      </c>
      <c r="C1145">
        <v>25.8385</v>
      </c>
      <c r="E1145">
        <v>732.202</v>
      </c>
      <c r="G1145">
        <f t="shared" si="43"/>
        <v>0.86664370867820417</v>
      </c>
    </row>
    <row r="1146" spans="1:7" x14ac:dyDescent="0.2">
      <c r="A1146">
        <v>30056.3</v>
      </c>
      <c r="C1146">
        <v>126.85599999999999</v>
      </c>
      <c r="E1146">
        <v>971.68600000000004</v>
      </c>
      <c r="G1146">
        <f t="shared" si="43"/>
        <v>0.40003051666248601</v>
      </c>
    </row>
    <row r="1147" spans="1:7" x14ac:dyDescent="0.2">
      <c r="A1147">
        <v>10972.6</v>
      </c>
      <c r="C1147">
        <v>113.26300000000001</v>
      </c>
      <c r="E1147">
        <v>1618.81</v>
      </c>
      <c r="G1147">
        <f t="shared" si="43"/>
        <v>5.2617145973508243E-2</v>
      </c>
    </row>
    <row r="1148" spans="1:7" x14ac:dyDescent="0.2">
      <c r="A1148">
        <v>44703.1</v>
      </c>
      <c r="C1148">
        <v>53.432000000000002</v>
      </c>
      <c r="E1148">
        <v>905.38699999999994</v>
      </c>
      <c r="G1148">
        <f t="shared" si="43"/>
        <v>0.68529668241222419</v>
      </c>
    </row>
    <row r="1149" spans="1:7" x14ac:dyDescent="0.2">
      <c r="A1149">
        <v>48124.3</v>
      </c>
      <c r="C1149">
        <v>93.347399999999993</v>
      </c>
      <c r="E1149">
        <v>945.48500000000001</v>
      </c>
      <c r="G1149">
        <f t="shared" si="43"/>
        <v>0.67649507036555145</v>
      </c>
    </row>
    <row r="1150" spans="1:7" x14ac:dyDescent="0.2">
      <c r="A1150">
        <v>40945.300000000003</v>
      </c>
      <c r="C1150">
        <v>32.4176</v>
      </c>
      <c r="E1150">
        <v>772.66600000000005</v>
      </c>
      <c r="G1150">
        <f t="shared" si="43"/>
        <v>0.86184655556242795</v>
      </c>
    </row>
    <row r="1151" spans="1:7" x14ac:dyDescent="0.2">
      <c r="A1151">
        <v>33088.9</v>
      </c>
      <c r="C1151">
        <v>414.47300000000001</v>
      </c>
      <c r="E1151">
        <v>1369.7</v>
      </c>
      <c r="G1151">
        <f t="shared" si="43"/>
        <v>0.22163631227312078</v>
      </c>
    </row>
    <row r="1152" spans="1:7" x14ac:dyDescent="0.2">
      <c r="A1152">
        <v>29088</v>
      </c>
      <c r="C1152">
        <v>335.29399999999998</v>
      </c>
      <c r="E1152">
        <v>1624.8</v>
      </c>
      <c r="G1152">
        <f t="shared" si="43"/>
        <v>0.13845974834671163</v>
      </c>
    </row>
    <row r="1153" spans="1:7" x14ac:dyDescent="0.2">
      <c r="A1153">
        <v>35337.599999999999</v>
      </c>
      <c r="C1153">
        <v>33.071899999999999</v>
      </c>
      <c r="E1153">
        <v>690.67700000000002</v>
      </c>
      <c r="G1153">
        <f t="shared" si="43"/>
        <v>0.93088613066049075</v>
      </c>
    </row>
    <row r="1154" spans="1:7" x14ac:dyDescent="0.2">
      <c r="A1154">
        <v>8364.08</v>
      </c>
      <c r="C1154">
        <v>79.143699999999995</v>
      </c>
      <c r="E1154">
        <v>1280.24</v>
      </c>
      <c r="G1154">
        <f t="shared" si="43"/>
        <v>6.4127585855896715E-2</v>
      </c>
    </row>
    <row r="1155" spans="1:7" x14ac:dyDescent="0.2">
      <c r="A1155">
        <v>15791.3</v>
      </c>
      <c r="C1155">
        <v>248.05500000000001</v>
      </c>
      <c r="E1155">
        <v>1617.66</v>
      </c>
      <c r="G1155">
        <f t="shared" ref="G1155:G1218" si="45" xml:space="preserve"> 3.14159*4*A1155/(E1155*E1155)</f>
        <v>7.5832065932408516E-2</v>
      </c>
    </row>
    <row r="1156" spans="1:7" x14ac:dyDescent="0.2">
      <c r="A1156">
        <v>38092.9</v>
      </c>
      <c r="C1156">
        <v>108.562</v>
      </c>
      <c r="E1156">
        <v>1007.88</v>
      </c>
      <c r="G1156">
        <f t="shared" si="45"/>
        <v>0.47123319868991426</v>
      </c>
    </row>
    <row r="1157" spans="1:7" x14ac:dyDescent="0.2">
      <c r="A1157">
        <v>49406.400000000001</v>
      </c>
      <c r="C1157">
        <v>52.941299999999998</v>
      </c>
      <c r="E1157">
        <v>1000.8</v>
      </c>
      <c r="G1157">
        <f t="shared" si="45"/>
        <v>0.61986642570835426</v>
      </c>
    </row>
    <row r="1158" spans="1:7" x14ac:dyDescent="0.2">
      <c r="A1158">
        <v>39153</v>
      </c>
      <c r="C1158">
        <v>46.540300000000002</v>
      </c>
      <c r="E1158">
        <v>793.56500000000005</v>
      </c>
      <c r="G1158">
        <f t="shared" si="45"/>
        <v>0.78128508103853567</v>
      </c>
    </row>
    <row r="1159" spans="1:7" x14ac:dyDescent="0.2">
      <c r="A1159">
        <v>33475.1</v>
      </c>
      <c r="C1159">
        <v>152.691</v>
      </c>
      <c r="E1159">
        <v>911.88800000000003</v>
      </c>
      <c r="G1159">
        <f t="shared" si="45"/>
        <v>0.50588101231926308</v>
      </c>
    </row>
    <row r="1160" spans="1:7" x14ac:dyDescent="0.2">
      <c r="A1160">
        <v>38431.199999999997</v>
      </c>
      <c r="C1160">
        <v>31.565300000000001</v>
      </c>
      <c r="E1160">
        <v>772.69</v>
      </c>
      <c r="G1160">
        <f t="shared" si="45"/>
        <v>0.80887769367231199</v>
      </c>
    </row>
    <row r="1161" spans="1:7" x14ac:dyDescent="0.2">
      <c r="A1161">
        <v>40192.5</v>
      </c>
      <c r="C1161">
        <v>35.053699999999999</v>
      </c>
      <c r="E1161">
        <v>758.66099999999994</v>
      </c>
      <c r="G1161">
        <f t="shared" si="45"/>
        <v>0.87752399238230949</v>
      </c>
    </row>
    <row r="1162" spans="1:7" x14ac:dyDescent="0.2">
      <c r="A1162">
        <v>36507.699999999997</v>
      </c>
      <c r="C1162">
        <v>26.514500000000002</v>
      </c>
      <c r="E1162">
        <v>705.51400000000001</v>
      </c>
      <c r="G1162">
        <f t="shared" si="45"/>
        <v>0.92168537841207054</v>
      </c>
    </row>
    <row r="1163" spans="1:7" x14ac:dyDescent="0.2">
      <c r="A1163">
        <v>38033.199999999997</v>
      </c>
      <c r="C1163">
        <v>67.401600000000002</v>
      </c>
      <c r="E1163">
        <v>917.61900000000003</v>
      </c>
      <c r="G1163">
        <f t="shared" si="45"/>
        <v>0.56760677372136015</v>
      </c>
    </row>
    <row r="1164" spans="1:7" x14ac:dyDescent="0.2">
      <c r="A1164">
        <v>27763.200000000001</v>
      </c>
      <c r="C1164">
        <v>231.99199999999999</v>
      </c>
      <c r="E1164">
        <v>1381.79</v>
      </c>
      <c r="G1164">
        <f t="shared" si="45"/>
        <v>0.18272371992282205</v>
      </c>
    </row>
    <row r="1165" spans="1:7" x14ac:dyDescent="0.2">
      <c r="A1165">
        <v>38517.599999999999</v>
      </c>
      <c r="C1165">
        <v>56.538699999999999</v>
      </c>
      <c r="E1165">
        <v>809.154</v>
      </c>
      <c r="G1165">
        <f t="shared" si="45"/>
        <v>0.73927555366020448</v>
      </c>
    </row>
    <row r="1166" spans="1:7" x14ac:dyDescent="0.2">
      <c r="A1166">
        <v>40529</v>
      </c>
      <c r="C1166">
        <v>35.133000000000003</v>
      </c>
      <c r="E1166">
        <v>763.87599999999998</v>
      </c>
      <c r="G1166">
        <f t="shared" si="45"/>
        <v>0.87282997975194243</v>
      </c>
    </row>
    <row r="1167" spans="1:7" x14ac:dyDescent="0.2">
      <c r="A1167">
        <v>25293.3</v>
      </c>
      <c r="C1167">
        <v>214.376</v>
      </c>
      <c r="E1167">
        <v>1299.02</v>
      </c>
      <c r="G1167">
        <f t="shared" si="45"/>
        <v>0.18835767327858247</v>
      </c>
    </row>
    <row r="1168" spans="1:7" x14ac:dyDescent="0.2">
      <c r="A1168">
        <v>33078.1</v>
      </c>
      <c r="C1168">
        <v>30.8766</v>
      </c>
      <c r="E1168">
        <v>660.31399999999996</v>
      </c>
      <c r="G1168">
        <f t="shared" si="45"/>
        <v>0.95334269338996214</v>
      </c>
    </row>
    <row r="1169" spans="1:7" x14ac:dyDescent="0.2">
      <c r="A1169">
        <v>36975.4</v>
      </c>
      <c r="C1169">
        <v>34.556600000000003</v>
      </c>
      <c r="E1169">
        <v>711.94500000000005</v>
      </c>
      <c r="G1169">
        <f t="shared" si="45"/>
        <v>0.91670476638104192</v>
      </c>
    </row>
    <row r="1170" spans="1:7" x14ac:dyDescent="0.2">
      <c r="A1170">
        <v>33556.9</v>
      </c>
      <c r="C1170">
        <v>98.305400000000006</v>
      </c>
      <c r="E1170">
        <v>783.24</v>
      </c>
      <c r="G1170">
        <f t="shared" si="45"/>
        <v>0.68738747324212013</v>
      </c>
    </row>
    <row r="1171" spans="1:7" x14ac:dyDescent="0.2">
      <c r="A1171">
        <v>38064.9</v>
      </c>
      <c r="C1171">
        <v>22.7392</v>
      </c>
      <c r="E1171">
        <v>726.88900000000001</v>
      </c>
      <c r="G1171">
        <f t="shared" si="45"/>
        <v>0.905311416100816</v>
      </c>
    </row>
    <row r="1172" spans="1:7" x14ac:dyDescent="0.2">
      <c r="A1172">
        <v>39048</v>
      </c>
      <c r="C1172">
        <v>73.553200000000004</v>
      </c>
      <c r="E1172">
        <v>772.91300000000001</v>
      </c>
      <c r="G1172">
        <f t="shared" si="45"/>
        <v>0.82138556800523554</v>
      </c>
    </row>
    <row r="1173" spans="1:7" x14ac:dyDescent="0.2">
      <c r="A1173">
        <v>42967.6</v>
      </c>
      <c r="C1173">
        <v>33.056100000000001</v>
      </c>
      <c r="E1173">
        <v>764.18799999999999</v>
      </c>
      <c r="G1173">
        <f t="shared" si="45"/>
        <v>0.92459207402426125</v>
      </c>
    </row>
    <row r="1174" spans="1:7" x14ac:dyDescent="0.2">
      <c r="A1174">
        <v>45534.6</v>
      </c>
      <c r="C1174">
        <v>36.020000000000003</v>
      </c>
      <c r="E1174">
        <v>803.05399999999997</v>
      </c>
      <c r="G1174">
        <f t="shared" si="45"/>
        <v>0.88728169869007611</v>
      </c>
    </row>
    <row r="1175" spans="1:7" x14ac:dyDescent="0.2">
      <c r="A1175">
        <v>38515.5</v>
      </c>
      <c r="C1175">
        <v>122.408</v>
      </c>
      <c r="E1175">
        <v>961.48900000000003</v>
      </c>
      <c r="G1175">
        <f t="shared" si="45"/>
        <v>0.52354787030767902</v>
      </c>
    </row>
    <row r="1176" spans="1:7" x14ac:dyDescent="0.2">
      <c r="A1176">
        <v>36809.4</v>
      </c>
      <c r="C1176">
        <v>30.0989</v>
      </c>
      <c r="E1176">
        <v>700.524</v>
      </c>
      <c r="G1176">
        <f t="shared" si="45"/>
        <v>0.94258863255294456</v>
      </c>
    </row>
    <row r="1177" spans="1:7" x14ac:dyDescent="0.2">
      <c r="A1177">
        <v>38861.4</v>
      </c>
      <c r="C1177">
        <v>26.703800000000001</v>
      </c>
      <c r="E1177">
        <v>732.90599999999995</v>
      </c>
      <c r="G1177">
        <f t="shared" si="45"/>
        <v>0.90914129598405957</v>
      </c>
    </row>
    <row r="1178" spans="1:7" x14ac:dyDescent="0.2">
      <c r="A1178">
        <v>46256.9</v>
      </c>
      <c r="C1178">
        <v>26.316500000000001</v>
      </c>
      <c r="E1178">
        <v>818.73400000000004</v>
      </c>
      <c r="G1178">
        <f t="shared" si="45"/>
        <v>0.86716226206047275</v>
      </c>
    </row>
    <row r="1179" spans="1:7" x14ac:dyDescent="0.2">
      <c r="A1179">
        <v>33992.400000000001</v>
      </c>
      <c r="C1179">
        <v>31.360299999999999</v>
      </c>
      <c r="E1179">
        <v>679.42600000000004</v>
      </c>
      <c r="G1179">
        <f t="shared" si="45"/>
        <v>0.92535207098484984</v>
      </c>
    </row>
    <row r="1180" spans="1:7" x14ac:dyDescent="0.2">
      <c r="A1180">
        <v>42091.3</v>
      </c>
      <c r="C1180">
        <v>85.293199999999999</v>
      </c>
      <c r="E1180">
        <v>945.19500000000005</v>
      </c>
      <c r="G1180">
        <f t="shared" si="45"/>
        <v>0.59205084495546967</v>
      </c>
    </row>
    <row r="1181" spans="1:7" x14ac:dyDescent="0.2">
      <c r="A1181">
        <v>39326.800000000003</v>
      </c>
      <c r="C1181">
        <v>102.45699999999999</v>
      </c>
      <c r="E1181">
        <v>805.05</v>
      </c>
      <c r="G1181">
        <f t="shared" si="45"/>
        <v>0.7625220346713536</v>
      </c>
    </row>
    <row r="1182" spans="1:7" x14ac:dyDescent="0.2">
      <c r="A1182">
        <v>39325.1</v>
      </c>
      <c r="C1182">
        <v>51.167200000000001</v>
      </c>
      <c r="E1182">
        <v>760.09100000000001</v>
      </c>
      <c r="G1182">
        <f t="shared" si="45"/>
        <v>0.85535845459026605</v>
      </c>
    </row>
    <row r="1183" spans="1:7" x14ac:dyDescent="0.2">
      <c r="A1183">
        <v>37407.1</v>
      </c>
      <c r="C1183">
        <v>30.433199999999999</v>
      </c>
      <c r="E1183">
        <v>720.726</v>
      </c>
      <c r="G1183">
        <f t="shared" si="45"/>
        <v>0.90494703000981047</v>
      </c>
    </row>
    <row r="1184" spans="1:7" x14ac:dyDescent="0.2">
      <c r="A1184">
        <v>44273</v>
      </c>
      <c r="C1184">
        <v>49.1738</v>
      </c>
      <c r="E1184">
        <v>781.75599999999997</v>
      </c>
      <c r="G1184">
        <f t="shared" si="45"/>
        <v>0.91034498121423235</v>
      </c>
    </row>
    <row r="1185" spans="1:7" x14ac:dyDescent="0.2">
      <c r="A1185">
        <v>46337.3</v>
      </c>
      <c r="C1185">
        <v>27.597100000000001</v>
      </c>
      <c r="E1185">
        <v>787.74800000000005</v>
      </c>
      <c r="G1185">
        <f t="shared" si="45"/>
        <v>0.93835160957729857</v>
      </c>
    </row>
    <row r="1186" spans="1:7" x14ac:dyDescent="0.2">
      <c r="A1186">
        <v>44354.3</v>
      </c>
      <c r="C1186">
        <v>27.910299999999999</v>
      </c>
      <c r="E1186">
        <v>774.74099999999999</v>
      </c>
      <c r="G1186">
        <f t="shared" si="45"/>
        <v>0.92860741478085296</v>
      </c>
    </row>
    <row r="1187" spans="1:7" x14ac:dyDescent="0.2">
      <c r="A1187">
        <v>44251.8</v>
      </c>
      <c r="C1187">
        <v>38.457700000000003</v>
      </c>
      <c r="E1187">
        <v>812.95699999999999</v>
      </c>
      <c r="G1187">
        <f t="shared" si="45"/>
        <v>0.8414053870515763</v>
      </c>
    </row>
    <row r="1188" spans="1:7" x14ac:dyDescent="0.2">
      <c r="A1188">
        <v>34008.400000000001</v>
      </c>
      <c r="C1188">
        <v>135.36500000000001</v>
      </c>
      <c r="E1188">
        <v>1008.94</v>
      </c>
      <c r="G1188">
        <f t="shared" si="45"/>
        <v>0.41982182944161628</v>
      </c>
    </row>
    <row r="1189" spans="1:7" x14ac:dyDescent="0.2">
      <c r="A1189">
        <v>35375.1</v>
      </c>
      <c r="C1189">
        <v>27.025700000000001</v>
      </c>
      <c r="E1189">
        <v>686.423</v>
      </c>
      <c r="G1189">
        <f t="shared" si="45"/>
        <v>0.94346005940848821</v>
      </c>
    </row>
    <row r="1190" spans="1:7" x14ac:dyDescent="0.2">
      <c r="A1190">
        <v>2204.16</v>
      </c>
      <c r="C1190">
        <v>371.28100000000001</v>
      </c>
      <c r="E1190">
        <v>1215.9000000000001</v>
      </c>
      <c r="G1190">
        <f t="shared" si="45"/>
        <v>1.8735138027923332E-2</v>
      </c>
    </row>
    <row r="1191" spans="1:7" x14ac:dyDescent="0.2">
      <c r="A1191">
        <v>46020.3</v>
      </c>
      <c r="C1191">
        <v>39.6006</v>
      </c>
      <c r="E1191">
        <v>801.96100000000001</v>
      </c>
      <c r="G1191">
        <f t="shared" si="45"/>
        <v>0.89919202243220531</v>
      </c>
    </row>
    <row r="1192" spans="1:7" x14ac:dyDescent="0.2">
      <c r="A1192">
        <v>44383.3</v>
      </c>
      <c r="C1192">
        <v>65.5929</v>
      </c>
      <c r="E1192">
        <v>1058.51</v>
      </c>
      <c r="G1192">
        <f t="shared" si="45"/>
        <v>0.49778196362492072</v>
      </c>
    </row>
    <row r="1193" spans="1:7" x14ac:dyDescent="0.2">
      <c r="A1193">
        <v>43407.7</v>
      </c>
      <c r="C1193">
        <v>95.661600000000007</v>
      </c>
      <c r="E1193">
        <v>1068.03</v>
      </c>
      <c r="G1193">
        <f t="shared" si="45"/>
        <v>0.47819977617511367</v>
      </c>
    </row>
    <row r="1194" spans="1:7" x14ac:dyDescent="0.2">
      <c r="A1194">
        <v>46465.4</v>
      </c>
      <c r="C1194">
        <v>78.467200000000005</v>
      </c>
      <c r="E1194">
        <v>984.63</v>
      </c>
      <c r="G1194">
        <f t="shared" si="45"/>
        <v>0.60227252228543426</v>
      </c>
    </row>
    <row r="1195" spans="1:7" x14ac:dyDescent="0.2">
      <c r="A1195">
        <v>35258.199999999997</v>
      </c>
      <c r="C1195">
        <v>99.777000000000001</v>
      </c>
      <c r="E1195">
        <v>1005.06</v>
      </c>
      <c r="G1195">
        <f t="shared" si="45"/>
        <v>0.43861719792966286</v>
      </c>
    </row>
    <row r="1196" spans="1:7" x14ac:dyDescent="0.2">
      <c r="A1196">
        <v>42264.2</v>
      </c>
      <c r="C1196">
        <v>52.854300000000002</v>
      </c>
      <c r="E1196">
        <v>803.721</v>
      </c>
      <c r="G1196">
        <f t="shared" si="45"/>
        <v>0.82218872751480421</v>
      </c>
    </row>
    <row r="1197" spans="1:7" x14ac:dyDescent="0.2">
      <c r="A1197">
        <v>40509.800000000003</v>
      </c>
      <c r="C1197">
        <v>23.103200000000001</v>
      </c>
      <c r="E1197">
        <v>726.029</v>
      </c>
      <c r="G1197">
        <f t="shared" si="45"/>
        <v>0.96574320212086129</v>
      </c>
    </row>
    <row r="1198" spans="1:7" x14ac:dyDescent="0.2">
      <c r="A1198">
        <v>33556.300000000003</v>
      </c>
      <c r="C1198">
        <v>121.158</v>
      </c>
      <c r="E1198">
        <v>1012.72</v>
      </c>
      <c r="G1198">
        <f t="shared" si="45"/>
        <v>0.41115425765228453</v>
      </c>
    </row>
    <row r="1199" spans="1:7" x14ac:dyDescent="0.2">
      <c r="A1199">
        <v>8810.85</v>
      </c>
      <c r="C1199">
        <v>211.05199999999999</v>
      </c>
      <c r="E1199">
        <v>1139.51</v>
      </c>
      <c r="G1199">
        <f t="shared" si="45"/>
        <v>8.5268971243146238E-2</v>
      </c>
    </row>
    <row r="1200" spans="1:7" x14ac:dyDescent="0.2">
      <c r="A1200">
        <v>35296.9</v>
      </c>
      <c r="C1200">
        <v>33.795699999999997</v>
      </c>
      <c r="E1200">
        <v>699.04100000000005</v>
      </c>
      <c r="G1200">
        <f t="shared" si="45"/>
        <v>0.9076967165391866</v>
      </c>
    </row>
    <row r="1201" spans="1:7" x14ac:dyDescent="0.2">
      <c r="A1201">
        <v>36576.800000000003</v>
      </c>
      <c r="C1201">
        <v>152.27699999999999</v>
      </c>
      <c r="E1201">
        <v>1737.43</v>
      </c>
      <c r="G1201">
        <f t="shared" si="45"/>
        <v>0.15226517027634442</v>
      </c>
    </row>
    <row r="1202" spans="1:7" x14ac:dyDescent="0.2">
      <c r="A1202">
        <v>46402.6</v>
      </c>
      <c r="C1202">
        <v>43.949399999999997</v>
      </c>
      <c r="E1202">
        <v>852.24599999999998</v>
      </c>
      <c r="G1202">
        <f t="shared" si="45"/>
        <v>0.80282681428510283</v>
      </c>
    </row>
    <row r="1203" spans="1:7" x14ac:dyDescent="0.2">
      <c r="A1203">
        <v>14530.6</v>
      </c>
      <c r="C1203">
        <v>181.50899999999999</v>
      </c>
      <c r="E1203">
        <v>1475.52</v>
      </c>
      <c r="G1203">
        <f t="shared" si="45"/>
        <v>8.386926629508934E-2</v>
      </c>
    </row>
    <row r="1204" spans="1:7" x14ac:dyDescent="0.2">
      <c r="A1204">
        <v>38120.5</v>
      </c>
      <c r="C1204">
        <v>35.098700000000001</v>
      </c>
      <c r="E1204">
        <v>707.33799999999997</v>
      </c>
      <c r="G1204">
        <f t="shared" si="45"/>
        <v>0.95744559478878</v>
      </c>
    </row>
    <row r="1205" spans="1:7" x14ac:dyDescent="0.2">
      <c r="A1205">
        <v>35096.400000000001</v>
      </c>
      <c r="C1205">
        <v>33.422600000000003</v>
      </c>
      <c r="E1205">
        <v>679.25199999999995</v>
      </c>
      <c r="G1205">
        <f t="shared" si="45"/>
        <v>0.95589505882858183</v>
      </c>
    </row>
    <row r="1206" spans="1:7" x14ac:dyDescent="0.2">
      <c r="A1206">
        <v>37214.6</v>
      </c>
      <c r="C1206">
        <v>25.2608</v>
      </c>
      <c r="E1206">
        <v>693.01499999999999</v>
      </c>
      <c r="G1206">
        <f t="shared" si="45"/>
        <v>0.97372783042820821</v>
      </c>
    </row>
    <row r="1207" spans="1:7" x14ac:dyDescent="0.2">
      <c r="A1207">
        <v>17233.2</v>
      </c>
      <c r="C1207">
        <v>141.52000000000001</v>
      </c>
      <c r="E1207">
        <v>1618.58</v>
      </c>
      <c r="G1207">
        <f t="shared" si="45"/>
        <v>8.2662224063543274E-2</v>
      </c>
    </row>
    <row r="1208" spans="1:7" x14ac:dyDescent="0.2">
      <c r="A1208">
        <v>35534.800000000003</v>
      </c>
      <c r="C1208">
        <v>102.47199999999999</v>
      </c>
      <c r="E1208">
        <v>1054.1400000000001</v>
      </c>
      <c r="G1208">
        <f t="shared" si="45"/>
        <v>0.40185260335739709</v>
      </c>
    </row>
    <row r="1209" spans="1:7" x14ac:dyDescent="0.2">
      <c r="A1209">
        <v>12907.7</v>
      </c>
      <c r="C1209">
        <v>241.172</v>
      </c>
      <c r="E1209">
        <v>943.48199999999997</v>
      </c>
      <c r="G1209">
        <f t="shared" si="45"/>
        <v>0.1822179356508257</v>
      </c>
    </row>
    <row r="1210" spans="1:7" x14ac:dyDescent="0.2">
      <c r="A1210">
        <v>39255.5</v>
      </c>
      <c r="C1210">
        <v>43.136400000000002</v>
      </c>
      <c r="E1210">
        <v>845.17</v>
      </c>
      <c r="G1210">
        <f t="shared" si="45"/>
        <v>0.69059251117736098</v>
      </c>
    </row>
    <row r="1211" spans="1:7" x14ac:dyDescent="0.2">
      <c r="A1211">
        <v>45450.3</v>
      </c>
      <c r="C1211">
        <v>33.928199999999997</v>
      </c>
      <c r="E1211">
        <v>824.80600000000004</v>
      </c>
      <c r="G1211">
        <f t="shared" si="45"/>
        <v>0.83954238799541592</v>
      </c>
    </row>
    <row r="1212" spans="1:7" x14ac:dyDescent="0.2">
      <c r="A1212">
        <v>42346.5</v>
      </c>
      <c r="C1212">
        <v>39.828299999999999</v>
      </c>
      <c r="E1212">
        <v>756.79399999999998</v>
      </c>
      <c r="G1212">
        <f t="shared" si="45"/>
        <v>0.92911967715372812</v>
      </c>
    </row>
    <row r="1213" spans="1:7" x14ac:dyDescent="0.2">
      <c r="A1213">
        <v>40387.5</v>
      </c>
      <c r="C1213">
        <v>25.7117</v>
      </c>
      <c r="E1213">
        <v>728.87900000000002</v>
      </c>
      <c r="G1213">
        <f t="shared" si="45"/>
        <v>0.95531279085581011</v>
      </c>
    </row>
    <row r="1214" spans="1:7" x14ac:dyDescent="0.2">
      <c r="A1214">
        <v>43288.7</v>
      </c>
      <c r="C1214">
        <v>40.353299999999997</v>
      </c>
      <c r="E1214">
        <v>833.04399999999998</v>
      </c>
      <c r="G1214">
        <f t="shared" si="45"/>
        <v>0.78387742890197865</v>
      </c>
    </row>
    <row r="1215" spans="1:7" x14ac:dyDescent="0.2">
      <c r="A1215">
        <v>43406.3</v>
      </c>
      <c r="C1215">
        <v>49.52</v>
      </c>
      <c r="E1215">
        <v>805.48</v>
      </c>
      <c r="G1215">
        <f t="shared" si="45"/>
        <v>0.84072263864875008</v>
      </c>
    </row>
    <row r="1216" spans="1:7" x14ac:dyDescent="0.2">
      <c r="A1216">
        <v>31417.200000000001</v>
      </c>
      <c r="C1216">
        <v>33.266100000000002</v>
      </c>
      <c r="E1216">
        <v>673.83100000000002</v>
      </c>
      <c r="G1216">
        <f t="shared" si="45"/>
        <v>0.86951083825909004</v>
      </c>
    </row>
    <row r="1217" spans="1:7" x14ac:dyDescent="0.2">
      <c r="A1217">
        <v>37113.1</v>
      </c>
      <c r="C1217">
        <v>32.089799999999997</v>
      </c>
      <c r="E1217">
        <v>739.32100000000003</v>
      </c>
      <c r="G1217">
        <f t="shared" si="45"/>
        <v>0.85323889475530346</v>
      </c>
    </row>
    <row r="1218" spans="1:7" x14ac:dyDescent="0.2">
      <c r="A1218">
        <v>37355.1</v>
      </c>
      <c r="C1218">
        <v>29.9679</v>
      </c>
      <c r="E1218">
        <v>740.66399999999999</v>
      </c>
      <c r="G1218">
        <f t="shared" si="45"/>
        <v>0.85569092873594754</v>
      </c>
    </row>
    <row r="1219" spans="1:7" x14ac:dyDescent="0.2">
      <c r="A1219">
        <v>38785.4</v>
      </c>
      <c r="C1219">
        <v>50.405500000000004</v>
      </c>
      <c r="E1219">
        <v>789.99099999999999</v>
      </c>
      <c r="G1219">
        <f t="shared" ref="G1219:G1282" si="46" xml:space="preserve"> 3.14159*4*A1219/(E1219*E1219)</f>
        <v>0.78096844167918966</v>
      </c>
    </row>
    <row r="1220" spans="1:7" x14ac:dyDescent="0.2">
      <c r="A1220">
        <v>45427.4</v>
      </c>
      <c r="C1220">
        <v>154.91399999999999</v>
      </c>
      <c r="E1220">
        <v>1186.18</v>
      </c>
      <c r="G1220">
        <f t="shared" si="46"/>
        <v>0.40571978236849737</v>
      </c>
    </row>
    <row r="1221" spans="1:7" x14ac:dyDescent="0.2">
      <c r="A1221">
        <v>37212.6</v>
      </c>
      <c r="C1221">
        <v>32.599499999999999</v>
      </c>
      <c r="E1221">
        <v>700.05100000000004</v>
      </c>
      <c r="G1221">
        <f t="shared" si="46"/>
        <v>0.95420162379220963</v>
      </c>
    </row>
    <row r="1222" spans="1:7" x14ac:dyDescent="0.2">
      <c r="A1222">
        <v>36335.300000000003</v>
      </c>
      <c r="C1222">
        <v>36.256700000000002</v>
      </c>
      <c r="E1222">
        <v>715.60500000000002</v>
      </c>
      <c r="G1222">
        <f t="shared" si="46"/>
        <v>0.89164404772087003</v>
      </c>
    </row>
    <row r="1223" spans="1:7" x14ac:dyDescent="0.2">
      <c r="A1223">
        <v>37204.9</v>
      </c>
      <c r="C1223">
        <v>27.723400000000002</v>
      </c>
      <c r="E1223">
        <v>693.024</v>
      </c>
      <c r="G1223">
        <f t="shared" si="46"/>
        <v>0.97344874388968383</v>
      </c>
    </row>
    <row r="1224" spans="1:7" x14ac:dyDescent="0.2">
      <c r="A1224">
        <v>14919.2</v>
      </c>
      <c r="C1224">
        <v>453.51799999999997</v>
      </c>
      <c r="E1224">
        <v>1539.72</v>
      </c>
      <c r="G1224">
        <f t="shared" si="46"/>
        <v>7.9080886856503427E-2</v>
      </c>
    </row>
    <row r="1225" spans="1:7" x14ac:dyDescent="0.2">
      <c r="A1225">
        <v>34065.5</v>
      </c>
      <c r="C1225">
        <v>300.05200000000002</v>
      </c>
      <c r="E1225">
        <v>1061.57</v>
      </c>
      <c r="G1225">
        <f t="shared" si="46"/>
        <v>0.37986299773410354</v>
      </c>
    </row>
    <row r="1226" spans="1:7" x14ac:dyDescent="0.2">
      <c r="A1226">
        <v>41102</v>
      </c>
      <c r="C1226">
        <v>61.060499999999998</v>
      </c>
      <c r="E1226">
        <v>785.71100000000001</v>
      </c>
      <c r="G1226">
        <f t="shared" si="46"/>
        <v>0.83665572167718982</v>
      </c>
    </row>
    <row r="1227" spans="1:7" x14ac:dyDescent="0.2">
      <c r="A1227">
        <v>32663.9</v>
      </c>
      <c r="C1227">
        <v>39.279200000000003</v>
      </c>
      <c r="E1227">
        <v>685.85699999999997</v>
      </c>
      <c r="G1227">
        <f t="shared" si="46"/>
        <v>0.87259030524681269</v>
      </c>
    </row>
    <row r="1228" spans="1:7" x14ac:dyDescent="0.2">
      <c r="A1228">
        <v>5704.16</v>
      </c>
      <c r="C1228">
        <v>150.39400000000001</v>
      </c>
      <c r="E1228">
        <v>1209.6199999999999</v>
      </c>
      <c r="G1228">
        <f t="shared" si="46"/>
        <v>4.8989530603001367E-2</v>
      </c>
    </row>
    <row r="1229" spans="1:7" x14ac:dyDescent="0.2">
      <c r="A1229">
        <v>36973.199999999997</v>
      </c>
      <c r="C1229">
        <v>37.755899999999997</v>
      </c>
      <c r="E1229">
        <v>714.53700000000003</v>
      </c>
      <c r="G1229">
        <f t="shared" si="46"/>
        <v>0.910011944411805</v>
      </c>
    </row>
    <row r="1230" spans="1:7" x14ac:dyDescent="0.2">
      <c r="A1230">
        <v>32256.7</v>
      </c>
      <c r="C1230">
        <v>32.793900000000001</v>
      </c>
      <c r="E1230">
        <v>673.67899999999997</v>
      </c>
      <c r="G1230">
        <f t="shared" si="46"/>
        <v>0.89314796478503555</v>
      </c>
    </row>
    <row r="1231" spans="1:7" x14ac:dyDescent="0.2">
      <c r="A1231">
        <v>40903.199999999997</v>
      </c>
      <c r="C1231">
        <v>99.602000000000004</v>
      </c>
      <c r="E1231">
        <v>1014.68</v>
      </c>
      <c r="G1231">
        <f t="shared" si="46"/>
        <v>0.4992390894634014</v>
      </c>
    </row>
    <row r="1232" spans="1:7" x14ac:dyDescent="0.2">
      <c r="A1232">
        <v>46977.9</v>
      </c>
      <c r="C1232">
        <v>62.518900000000002</v>
      </c>
      <c r="E1232">
        <v>907.69899999999996</v>
      </c>
      <c r="G1232">
        <f t="shared" si="46"/>
        <v>0.71650525889123251</v>
      </c>
    </row>
    <row r="1233" spans="1:7" x14ac:dyDescent="0.2">
      <c r="A1233">
        <v>37565.800000000003</v>
      </c>
      <c r="C1233">
        <v>25.467199999999998</v>
      </c>
      <c r="E1233">
        <v>717.17</v>
      </c>
      <c r="G1233">
        <f t="shared" si="46"/>
        <v>0.91782083180266683</v>
      </c>
    </row>
    <row r="1234" spans="1:7" x14ac:dyDescent="0.2">
      <c r="A1234">
        <v>37029.9</v>
      </c>
      <c r="C1234">
        <v>36.180599999999998</v>
      </c>
      <c r="E1234">
        <v>708.726</v>
      </c>
      <c r="G1234">
        <f t="shared" si="46"/>
        <v>0.92641441840714822</v>
      </c>
    </row>
    <row r="1235" spans="1:7" x14ac:dyDescent="0.2">
      <c r="A1235">
        <v>45432.5</v>
      </c>
      <c r="C1235">
        <v>36.110799999999998</v>
      </c>
      <c r="E1235">
        <v>802.30100000000004</v>
      </c>
      <c r="G1235">
        <f t="shared" si="46"/>
        <v>0.88695475313955996</v>
      </c>
    </row>
    <row r="1236" spans="1:7" x14ac:dyDescent="0.2">
      <c r="A1236">
        <v>40963.699999999997</v>
      </c>
      <c r="C1236">
        <v>33.723100000000002</v>
      </c>
      <c r="E1236">
        <v>758.68700000000001</v>
      </c>
      <c r="G1236">
        <f t="shared" si="46"/>
        <v>0.89430032583839458</v>
      </c>
    </row>
    <row r="1237" spans="1:7" x14ac:dyDescent="0.2">
      <c r="A1237">
        <v>33383.599999999999</v>
      </c>
      <c r="C1237">
        <v>149.083</v>
      </c>
      <c r="E1237">
        <v>1399.8</v>
      </c>
      <c r="G1237">
        <f t="shared" si="46"/>
        <v>0.21409705177607782</v>
      </c>
    </row>
    <row r="1238" spans="1:7" x14ac:dyDescent="0.2">
      <c r="A1238">
        <v>32197.599999999999</v>
      </c>
      <c r="C1238">
        <v>36.364400000000003</v>
      </c>
      <c r="E1238">
        <v>659.84900000000005</v>
      </c>
      <c r="G1238">
        <f t="shared" si="46"/>
        <v>0.9292741838336569</v>
      </c>
    </row>
    <row r="1239" spans="1:7" x14ac:dyDescent="0.2">
      <c r="A1239">
        <v>46731.199999999997</v>
      </c>
      <c r="C1239">
        <v>99.447199999999995</v>
      </c>
      <c r="E1239">
        <v>1157.43</v>
      </c>
      <c r="G1239">
        <f t="shared" si="46"/>
        <v>0.43835600548567705</v>
      </c>
    </row>
    <row r="1240" spans="1:7" x14ac:dyDescent="0.2">
      <c r="A1240">
        <v>46271.6</v>
      </c>
      <c r="C1240">
        <v>50.591099999999997</v>
      </c>
      <c r="E1240">
        <v>924.37699999999995</v>
      </c>
      <c r="G1240">
        <f t="shared" si="46"/>
        <v>0.68049627493041032</v>
      </c>
    </row>
    <row r="1241" spans="1:7" x14ac:dyDescent="0.2">
      <c r="A1241">
        <v>1999.75</v>
      </c>
      <c r="C1241">
        <v>443.46800000000002</v>
      </c>
      <c r="E1241">
        <v>1051.31</v>
      </c>
      <c r="G1241">
        <f t="shared" si="46"/>
        <v>2.2736500027498101E-2</v>
      </c>
    </row>
    <row r="1242" spans="1:7" x14ac:dyDescent="0.2">
      <c r="A1242">
        <v>22769.200000000001</v>
      </c>
      <c r="C1242">
        <v>287.08600000000001</v>
      </c>
      <c r="E1242">
        <v>1230.21</v>
      </c>
      <c r="G1242">
        <f t="shared" si="46"/>
        <v>0.18905961238595578</v>
      </c>
    </row>
    <row r="1243" spans="1:7" x14ac:dyDescent="0.2">
      <c r="A1243">
        <v>38971.5</v>
      </c>
      <c r="C1243">
        <v>44.891300000000001</v>
      </c>
      <c r="E1243">
        <v>785.22799999999995</v>
      </c>
      <c r="G1243">
        <f t="shared" si="46"/>
        <v>0.79426433946692687</v>
      </c>
    </row>
    <row r="1244" spans="1:7" x14ac:dyDescent="0.2">
      <c r="A1244">
        <v>44569.1</v>
      </c>
      <c r="C1244">
        <v>31.254000000000001</v>
      </c>
      <c r="E1244">
        <v>824.41200000000003</v>
      </c>
      <c r="G1244">
        <f t="shared" si="46"/>
        <v>0.8240522550048599</v>
      </c>
    </row>
    <row r="1245" spans="1:7" x14ac:dyDescent="0.2">
      <c r="A1245">
        <v>31791.1</v>
      </c>
      <c r="C1245">
        <v>51.841700000000003</v>
      </c>
      <c r="E1245">
        <v>747.95399999999995</v>
      </c>
      <c r="G1245">
        <f t="shared" si="46"/>
        <v>0.7141102621191997</v>
      </c>
    </row>
    <row r="1246" spans="1:7" x14ac:dyDescent="0.2">
      <c r="A1246">
        <v>33713.199999999997</v>
      </c>
      <c r="C1246">
        <v>31.097200000000001</v>
      </c>
      <c r="E1246">
        <v>674.86199999999997</v>
      </c>
      <c r="G1246">
        <f t="shared" si="46"/>
        <v>0.93020683186813302</v>
      </c>
    </row>
    <row r="1247" spans="1:7" x14ac:dyDescent="0.2">
      <c r="A1247">
        <v>38394.9</v>
      </c>
      <c r="C1247">
        <v>45.941899999999997</v>
      </c>
      <c r="E1247">
        <v>750.67</v>
      </c>
      <c r="G1247">
        <f t="shared" si="46"/>
        <v>0.85621911288673613</v>
      </c>
    </row>
    <row r="1248" spans="1:7" x14ac:dyDescent="0.2">
      <c r="A1248">
        <v>36137</v>
      </c>
      <c r="C1248">
        <v>23.975999999999999</v>
      </c>
      <c r="E1248">
        <v>688.32600000000002</v>
      </c>
      <c r="G1248">
        <f t="shared" si="46"/>
        <v>0.95845834751720671</v>
      </c>
    </row>
    <row r="1249" spans="1:7" x14ac:dyDescent="0.2">
      <c r="A1249">
        <v>47052.800000000003</v>
      </c>
      <c r="C1249">
        <v>56.435200000000002</v>
      </c>
      <c r="E1249">
        <v>972.23900000000003</v>
      </c>
      <c r="G1249">
        <f t="shared" si="46"/>
        <v>0.62553108046765882</v>
      </c>
    </row>
    <row r="1250" spans="1:7" x14ac:dyDescent="0.2">
      <c r="A1250">
        <v>31423.1</v>
      </c>
      <c r="C1250">
        <v>50.125599999999999</v>
      </c>
      <c r="E1250">
        <v>666.28800000000001</v>
      </c>
      <c r="G1250">
        <f t="shared" si="46"/>
        <v>0.88947662904508717</v>
      </c>
    </row>
    <row r="1251" spans="1:7" x14ac:dyDescent="0.2">
      <c r="A1251">
        <v>31929.5</v>
      </c>
      <c r="C1251">
        <v>28.331</v>
      </c>
      <c r="E1251">
        <v>650.59299999999996</v>
      </c>
      <c r="G1251">
        <f t="shared" si="46"/>
        <v>0.94794435024074941</v>
      </c>
    </row>
    <row r="1252" spans="1:7" x14ac:dyDescent="0.2">
      <c r="A1252">
        <v>46002.5</v>
      </c>
      <c r="C1252">
        <v>45.868099999999998</v>
      </c>
      <c r="E1252">
        <v>1003.43</v>
      </c>
      <c r="G1252">
        <f t="shared" si="46"/>
        <v>0.57413863021316702</v>
      </c>
    </row>
    <row r="1253" spans="1:7" x14ac:dyDescent="0.2">
      <c r="A1253">
        <v>37386.6</v>
      </c>
      <c r="C1253">
        <v>28.0642</v>
      </c>
      <c r="E1253">
        <v>712.08799999999997</v>
      </c>
      <c r="G1253">
        <f t="shared" si="46"/>
        <v>0.9265271166734973</v>
      </c>
    </row>
    <row r="1254" spans="1:7" x14ac:dyDescent="0.2">
      <c r="A1254">
        <v>38488.5</v>
      </c>
      <c r="C1254">
        <v>31.328199999999999</v>
      </c>
      <c r="E1254">
        <v>727.952</v>
      </c>
      <c r="G1254">
        <f t="shared" si="46"/>
        <v>0.9127145962044233</v>
      </c>
    </row>
    <row r="1255" spans="1:7" x14ac:dyDescent="0.2">
      <c r="A1255">
        <v>38608.6</v>
      </c>
      <c r="C1255">
        <v>44.306800000000003</v>
      </c>
      <c r="E1255">
        <v>738.779</v>
      </c>
      <c r="G1255">
        <f t="shared" si="46"/>
        <v>0.88892366257180078</v>
      </c>
    </row>
    <row r="1256" spans="1:7" x14ac:dyDescent="0.2">
      <c r="A1256">
        <v>41177.300000000003</v>
      </c>
      <c r="C1256">
        <v>58.638100000000001</v>
      </c>
      <c r="E1256">
        <v>790.91899999999998</v>
      </c>
      <c r="G1256">
        <f t="shared" si="46"/>
        <v>0.82718632579699691</v>
      </c>
    </row>
    <row r="1257" spans="1:7" x14ac:dyDescent="0.2">
      <c r="A1257">
        <v>31213.7</v>
      </c>
      <c r="C1257">
        <v>30.544</v>
      </c>
      <c r="E1257">
        <v>660.34900000000005</v>
      </c>
      <c r="G1257">
        <f t="shared" si="46"/>
        <v>0.89951353002144663</v>
      </c>
    </row>
    <row r="1258" spans="1:7" x14ac:dyDescent="0.2">
      <c r="A1258">
        <v>43651.4</v>
      </c>
      <c r="C1258">
        <v>40.6721</v>
      </c>
      <c r="E1258">
        <v>850.78499999999997</v>
      </c>
      <c r="G1258">
        <f t="shared" si="46"/>
        <v>0.75782342498770094</v>
      </c>
    </row>
    <row r="1259" spans="1:7" x14ac:dyDescent="0.2">
      <c r="A1259">
        <v>44737</v>
      </c>
      <c r="C1259">
        <v>49.915300000000002</v>
      </c>
      <c r="E1259">
        <v>893.59</v>
      </c>
      <c r="G1259">
        <f t="shared" si="46"/>
        <v>0.70404392380959147</v>
      </c>
    </row>
    <row r="1260" spans="1:7" x14ac:dyDescent="0.2">
      <c r="A1260">
        <v>33327.599999999999</v>
      </c>
      <c r="C1260">
        <v>27.107299999999999</v>
      </c>
      <c r="E1260">
        <v>673.63300000000004</v>
      </c>
      <c r="G1260">
        <f t="shared" si="46"/>
        <v>0.92292588961874145</v>
      </c>
    </row>
    <row r="1261" spans="1:7" x14ac:dyDescent="0.2">
      <c r="A1261">
        <v>36461.800000000003</v>
      </c>
      <c r="C1261">
        <v>29.7623</v>
      </c>
      <c r="E1261">
        <v>701.52700000000004</v>
      </c>
      <c r="G1261">
        <f t="shared" si="46"/>
        <v>0.93101959281041979</v>
      </c>
    </row>
    <row r="1262" spans="1:7" x14ac:dyDescent="0.2">
      <c r="A1262">
        <v>39255.9</v>
      </c>
      <c r="C1262">
        <v>38.938800000000001</v>
      </c>
      <c r="E1262">
        <v>726.50199999999995</v>
      </c>
      <c r="G1262">
        <f t="shared" si="46"/>
        <v>0.93463234663865513</v>
      </c>
    </row>
    <row r="1263" spans="1:7" x14ac:dyDescent="0.2">
      <c r="A1263">
        <v>48293</v>
      </c>
      <c r="C1263">
        <v>62.111699999999999</v>
      </c>
      <c r="E1263">
        <v>1040.31</v>
      </c>
      <c r="G1263">
        <f t="shared" si="46"/>
        <v>0.56074851973607753</v>
      </c>
    </row>
    <row r="1264" spans="1:7" x14ac:dyDescent="0.2">
      <c r="A1264">
        <v>25584.9</v>
      </c>
      <c r="C1264">
        <v>271.54399999999998</v>
      </c>
      <c r="E1264">
        <v>1216.03</v>
      </c>
      <c r="G1264">
        <f t="shared" si="46"/>
        <v>0.21742257875866564</v>
      </c>
    </row>
    <row r="1265" spans="1:7" x14ac:dyDescent="0.2">
      <c r="A1265">
        <v>39742.5</v>
      </c>
      <c r="C1265">
        <v>23.605</v>
      </c>
      <c r="E1265">
        <v>738.495</v>
      </c>
      <c r="G1265">
        <f t="shared" si="46"/>
        <v>0.91573446876233755</v>
      </c>
    </row>
    <row r="1266" spans="1:7" x14ac:dyDescent="0.2">
      <c r="A1266">
        <v>42530.5</v>
      </c>
      <c r="C1266">
        <v>50.553800000000003</v>
      </c>
      <c r="E1266">
        <v>798.64200000000005</v>
      </c>
      <c r="G1266">
        <f t="shared" si="46"/>
        <v>0.83792605380726448</v>
      </c>
    </row>
    <row r="1267" spans="1:7" x14ac:dyDescent="0.2">
      <c r="A1267">
        <v>32729.7</v>
      </c>
      <c r="C1267">
        <v>36.038699999999999</v>
      </c>
      <c r="E1267">
        <v>677.01800000000003</v>
      </c>
      <c r="G1267">
        <f t="shared" si="46"/>
        <v>0.89732773385436293</v>
      </c>
    </row>
    <row r="1268" spans="1:7" x14ac:dyDescent="0.2">
      <c r="A1268">
        <v>28656.799999999999</v>
      </c>
      <c r="C1268">
        <v>513.93299999999999</v>
      </c>
      <c r="E1268">
        <v>1678.32</v>
      </c>
      <c r="G1268">
        <f t="shared" si="46"/>
        <v>0.12784614879384254</v>
      </c>
    </row>
    <row r="1269" spans="1:7" x14ac:dyDescent="0.2">
      <c r="A1269">
        <v>34093.1</v>
      </c>
      <c r="C1269">
        <v>26.4909</v>
      </c>
      <c r="E1269">
        <v>681.07299999999998</v>
      </c>
      <c r="G1269">
        <f t="shared" si="46"/>
        <v>0.92361007574740139</v>
      </c>
    </row>
    <row r="1270" spans="1:7" x14ac:dyDescent="0.2">
      <c r="A1270">
        <v>39593.9</v>
      </c>
      <c r="C1270">
        <v>47.415399999999998</v>
      </c>
      <c r="E1270">
        <v>809.35199999999998</v>
      </c>
      <c r="G1270">
        <f t="shared" si="46"/>
        <v>0.75956140747483236</v>
      </c>
    </row>
    <row r="1271" spans="1:7" x14ac:dyDescent="0.2">
      <c r="A1271">
        <v>45043.6</v>
      </c>
      <c r="C1271">
        <v>36.565899999999999</v>
      </c>
      <c r="E1271">
        <v>783.01300000000003</v>
      </c>
      <c r="G1271">
        <f t="shared" si="46"/>
        <v>0.92321881203446898</v>
      </c>
    </row>
    <row r="1272" spans="1:7" x14ac:dyDescent="0.2">
      <c r="A1272">
        <v>48361.4</v>
      </c>
      <c r="C1272">
        <v>44.733400000000003</v>
      </c>
      <c r="E1272">
        <v>853.14499999999998</v>
      </c>
      <c r="G1272">
        <f t="shared" si="46"/>
        <v>0.83495421624061295</v>
      </c>
    </row>
    <row r="1273" spans="1:7" x14ac:dyDescent="0.2">
      <c r="A1273">
        <v>17385.2</v>
      </c>
      <c r="C1273">
        <v>221.774</v>
      </c>
      <c r="E1273">
        <v>1273.42</v>
      </c>
      <c r="G1273">
        <f t="shared" si="46"/>
        <v>0.13472427506377649</v>
      </c>
    </row>
    <row r="1274" spans="1:7" x14ac:dyDescent="0.2">
      <c r="A1274">
        <v>34247.199999999997</v>
      </c>
      <c r="C1274">
        <v>27.7819</v>
      </c>
      <c r="E1274">
        <v>710.12800000000004</v>
      </c>
      <c r="G1274">
        <f t="shared" si="46"/>
        <v>0.85341700681304755</v>
      </c>
    </row>
    <row r="1275" spans="1:7" x14ac:dyDescent="0.2">
      <c r="A1275">
        <v>32750.7</v>
      </c>
      <c r="C1275">
        <v>38.793900000000001</v>
      </c>
      <c r="E1275">
        <v>722.78399999999999</v>
      </c>
      <c r="G1275">
        <f t="shared" si="46"/>
        <v>0.78779464373413077</v>
      </c>
    </row>
    <row r="1276" spans="1:7" x14ac:dyDescent="0.2">
      <c r="A1276">
        <v>32565</v>
      </c>
      <c r="C1276">
        <v>48.4056</v>
      </c>
      <c r="E1276">
        <v>733.41200000000003</v>
      </c>
      <c r="G1276">
        <f t="shared" si="46"/>
        <v>0.76078958147224429</v>
      </c>
    </row>
    <row r="1277" spans="1:7" x14ac:dyDescent="0.2">
      <c r="A1277">
        <v>26875.599999999999</v>
      </c>
      <c r="C1277">
        <v>102.98</v>
      </c>
      <c r="E1277">
        <v>1051.81</v>
      </c>
      <c r="G1277">
        <f t="shared" si="46"/>
        <v>0.30527628981655708</v>
      </c>
    </row>
    <row r="1278" spans="1:7" x14ac:dyDescent="0.2">
      <c r="A1278">
        <v>36081.1</v>
      </c>
      <c r="C1278">
        <v>29.543700000000001</v>
      </c>
      <c r="E1278">
        <v>696.65099999999995</v>
      </c>
      <c r="G1278">
        <f t="shared" si="46"/>
        <v>0.93424060003400689</v>
      </c>
    </row>
    <row r="1279" spans="1:7" x14ac:dyDescent="0.2">
      <c r="A1279">
        <v>38728.400000000001</v>
      </c>
      <c r="C1279">
        <v>37.482300000000002</v>
      </c>
      <c r="E1279">
        <v>759.13900000000001</v>
      </c>
      <c r="G1279">
        <f t="shared" si="46"/>
        <v>0.84449376118104791</v>
      </c>
    </row>
    <row r="1280" spans="1:7" x14ac:dyDescent="0.2">
      <c r="A1280">
        <v>37345.599999999999</v>
      </c>
      <c r="C1280">
        <v>87.363600000000005</v>
      </c>
      <c r="E1280">
        <v>904.35699999999997</v>
      </c>
      <c r="G1280">
        <f t="shared" si="46"/>
        <v>0.57381134352456642</v>
      </c>
    </row>
    <row r="1281" spans="1:7" x14ac:dyDescent="0.2">
      <c r="A1281">
        <v>35786.5</v>
      </c>
      <c r="C1281">
        <v>49.523600000000002</v>
      </c>
      <c r="E1281">
        <v>851.74800000000005</v>
      </c>
      <c r="G1281">
        <f t="shared" si="46"/>
        <v>0.61987836339724545</v>
      </c>
    </row>
    <row r="1282" spans="1:7" x14ac:dyDescent="0.2">
      <c r="A1282">
        <v>37941.699999999997</v>
      </c>
      <c r="C1282">
        <v>91.484700000000004</v>
      </c>
      <c r="E1282">
        <v>1099.81</v>
      </c>
      <c r="G1282">
        <f t="shared" si="46"/>
        <v>0.39417670483044637</v>
      </c>
    </row>
    <row r="1283" spans="1:7" x14ac:dyDescent="0.2">
      <c r="A1283">
        <v>33013.4</v>
      </c>
      <c r="C1283">
        <v>26.6084</v>
      </c>
      <c r="E1283">
        <v>664.428</v>
      </c>
      <c r="G1283">
        <f t="shared" ref="G1283:G1346" si="47" xml:space="preserve"> 3.14159*4*A1283/(E1283*E1283)</f>
        <v>0.93973174760159028</v>
      </c>
    </row>
    <row r="1284" spans="1:7" x14ac:dyDescent="0.2">
      <c r="A1284">
        <v>49335.5</v>
      </c>
      <c r="C1284">
        <v>69.515100000000004</v>
      </c>
      <c r="E1284">
        <v>941.14700000000005</v>
      </c>
      <c r="G1284">
        <f t="shared" si="47"/>
        <v>0.699929191529436</v>
      </c>
    </row>
    <row r="1285" spans="1:7" x14ac:dyDescent="0.2">
      <c r="A1285">
        <v>37821.9</v>
      </c>
      <c r="C1285">
        <v>55.976900000000001</v>
      </c>
      <c r="E1285">
        <v>891.18799999999999</v>
      </c>
      <c r="G1285">
        <f t="shared" si="47"/>
        <v>0.59843113278774529</v>
      </c>
    </row>
    <row r="1286" spans="1:7" x14ac:dyDescent="0.2">
      <c r="A1286">
        <v>36530.400000000001</v>
      </c>
      <c r="C1286">
        <v>25.470400000000001</v>
      </c>
      <c r="E1286">
        <v>706.53499999999997</v>
      </c>
      <c r="G1286">
        <f t="shared" si="47"/>
        <v>0.91959492038734147</v>
      </c>
    </row>
    <row r="1287" spans="1:7" x14ac:dyDescent="0.2">
      <c r="A1287">
        <v>33319.300000000003</v>
      </c>
      <c r="C1287">
        <v>24.691199999999998</v>
      </c>
      <c r="E1287">
        <v>668.09500000000003</v>
      </c>
      <c r="G1287">
        <f t="shared" si="47"/>
        <v>0.93805633980107295</v>
      </c>
    </row>
    <row r="1288" spans="1:7" x14ac:dyDescent="0.2">
      <c r="A1288">
        <v>44452.6</v>
      </c>
      <c r="C1288">
        <v>115.33799999999999</v>
      </c>
      <c r="E1288">
        <v>1189.24</v>
      </c>
      <c r="G1288">
        <f t="shared" si="47"/>
        <v>0.39497321796209245</v>
      </c>
    </row>
    <row r="1289" spans="1:7" x14ac:dyDescent="0.2">
      <c r="A1289">
        <v>37400.699999999997</v>
      </c>
      <c r="C1289">
        <v>26.034300000000002</v>
      </c>
      <c r="E1289">
        <v>699.80499999999995</v>
      </c>
      <c r="G1289">
        <f t="shared" si="47"/>
        <v>0.95969922826276033</v>
      </c>
    </row>
    <row r="1290" spans="1:7" x14ac:dyDescent="0.2">
      <c r="A1290">
        <v>35876.199999999997</v>
      </c>
      <c r="C1290">
        <v>28.0425</v>
      </c>
      <c r="E1290">
        <v>699.38900000000001</v>
      </c>
      <c r="G1290">
        <f t="shared" si="47"/>
        <v>0.92167612716351455</v>
      </c>
    </row>
    <row r="1291" spans="1:7" x14ac:dyDescent="0.2">
      <c r="A1291">
        <v>31441.4</v>
      </c>
      <c r="C1291">
        <v>34.268300000000004</v>
      </c>
      <c r="E1291">
        <v>662.96100000000001</v>
      </c>
      <c r="G1291">
        <f t="shared" si="47"/>
        <v>0.89894973991238514</v>
      </c>
    </row>
    <row r="1292" spans="1:7" x14ac:dyDescent="0.2">
      <c r="A1292">
        <v>31199.4</v>
      </c>
      <c r="C1292">
        <v>30.142600000000002</v>
      </c>
      <c r="E1292">
        <v>648.476</v>
      </c>
      <c r="G1292">
        <f t="shared" si="47"/>
        <v>0.93232627598425377</v>
      </c>
    </row>
    <row r="1293" spans="1:7" x14ac:dyDescent="0.2">
      <c r="A1293">
        <v>39677.4</v>
      </c>
      <c r="C1293">
        <v>34.984699999999997</v>
      </c>
      <c r="E1293">
        <v>765.33799999999997</v>
      </c>
      <c r="G1293">
        <f t="shared" si="47"/>
        <v>0.85122848599599288</v>
      </c>
    </row>
    <row r="1294" spans="1:7" x14ac:dyDescent="0.2">
      <c r="A1294">
        <v>34107.5</v>
      </c>
      <c r="C1294">
        <v>122.93899999999999</v>
      </c>
      <c r="E1294">
        <v>1158.33</v>
      </c>
      <c r="G1294">
        <f t="shared" si="47"/>
        <v>0.31944402998835586</v>
      </c>
    </row>
    <row r="1295" spans="1:7" x14ac:dyDescent="0.2">
      <c r="A1295">
        <v>15177.9</v>
      </c>
      <c r="C1295">
        <v>153.934</v>
      </c>
      <c r="E1295">
        <v>1418.43</v>
      </c>
      <c r="G1295">
        <f t="shared" si="47"/>
        <v>9.4799351876226567E-2</v>
      </c>
    </row>
    <row r="1296" spans="1:7" x14ac:dyDescent="0.2">
      <c r="A1296">
        <v>43852</v>
      </c>
      <c r="C1296">
        <v>53.768799999999999</v>
      </c>
      <c r="E1296">
        <v>866.92399999999998</v>
      </c>
      <c r="G1296">
        <f t="shared" si="47"/>
        <v>0.73322430116205073</v>
      </c>
    </row>
    <row r="1297" spans="1:7" x14ac:dyDescent="0.2">
      <c r="A1297">
        <v>35662.699999999997</v>
      </c>
      <c r="C1297">
        <v>61.1586</v>
      </c>
      <c r="E1297">
        <v>743.83399999999995</v>
      </c>
      <c r="G1297">
        <f t="shared" si="47"/>
        <v>0.80997509607479468</v>
      </c>
    </row>
    <row r="1298" spans="1:7" x14ac:dyDescent="0.2">
      <c r="A1298">
        <v>36881.300000000003</v>
      </c>
      <c r="C1298">
        <v>55.042000000000002</v>
      </c>
      <c r="E1298">
        <v>819.27200000000005</v>
      </c>
      <c r="G1298">
        <f t="shared" si="47"/>
        <v>0.69049333867413465</v>
      </c>
    </row>
    <row r="1299" spans="1:7" x14ac:dyDescent="0.2">
      <c r="A1299">
        <v>36220.699999999997</v>
      </c>
      <c r="C1299">
        <v>33.364600000000003</v>
      </c>
      <c r="E1299">
        <v>719.44200000000001</v>
      </c>
      <c r="G1299">
        <f t="shared" si="47"/>
        <v>0.87937630844374182</v>
      </c>
    </row>
    <row r="1300" spans="1:7" x14ac:dyDescent="0.2">
      <c r="A1300">
        <v>35895</v>
      </c>
      <c r="C1300">
        <v>131.58199999999999</v>
      </c>
      <c r="E1300">
        <v>1027.82</v>
      </c>
      <c r="G1300">
        <f t="shared" si="47"/>
        <v>0.42698176332794907</v>
      </c>
    </row>
    <row r="1301" spans="1:7" x14ac:dyDescent="0.2">
      <c r="A1301">
        <v>37570.400000000001</v>
      </c>
      <c r="C1301">
        <v>33.849699999999999</v>
      </c>
      <c r="E1301">
        <v>731.85400000000004</v>
      </c>
      <c r="G1301">
        <f t="shared" si="47"/>
        <v>0.88146772334141776</v>
      </c>
    </row>
    <row r="1302" spans="1:7" x14ac:dyDescent="0.2">
      <c r="A1302">
        <v>32877</v>
      </c>
      <c r="C1302">
        <v>50.7684</v>
      </c>
      <c r="E1302">
        <v>770.93299999999999</v>
      </c>
      <c r="G1302">
        <f t="shared" si="47"/>
        <v>0.69513380075236275</v>
      </c>
    </row>
    <row r="1303" spans="1:7" x14ac:dyDescent="0.2">
      <c r="A1303">
        <v>37508.400000000001</v>
      </c>
      <c r="C1303">
        <v>35.112099999999998</v>
      </c>
      <c r="E1303">
        <v>799.56600000000003</v>
      </c>
      <c r="G1303">
        <f t="shared" si="47"/>
        <v>0.73727481591568211</v>
      </c>
    </row>
    <row r="1304" spans="1:7" x14ac:dyDescent="0.2">
      <c r="A1304">
        <v>39491.699999999997</v>
      </c>
      <c r="C1304">
        <v>63.224800000000002</v>
      </c>
      <c r="E1304">
        <v>787.39800000000002</v>
      </c>
      <c r="G1304">
        <f t="shared" si="47"/>
        <v>0.80043618194106836</v>
      </c>
    </row>
    <row r="1305" spans="1:7" x14ac:dyDescent="0.2">
      <c r="A1305">
        <v>41003.599999999999</v>
      </c>
      <c r="C1305">
        <v>52.861800000000002</v>
      </c>
      <c r="E1305">
        <v>821.92700000000002</v>
      </c>
      <c r="G1305">
        <f t="shared" si="47"/>
        <v>0.76271974821645816</v>
      </c>
    </row>
    <row r="1306" spans="1:7" x14ac:dyDescent="0.2">
      <c r="A1306">
        <v>25496.6</v>
      </c>
      <c r="C1306">
        <v>204.26599999999999</v>
      </c>
      <c r="E1306">
        <v>1186.48</v>
      </c>
      <c r="G1306">
        <f t="shared" si="47"/>
        <v>0.22759930106221232</v>
      </c>
    </row>
    <row r="1307" spans="1:7" x14ac:dyDescent="0.2">
      <c r="A1307">
        <v>33108.300000000003</v>
      </c>
      <c r="C1307">
        <v>243.471</v>
      </c>
      <c r="E1307">
        <v>1928.35</v>
      </c>
      <c r="G1307">
        <f t="shared" si="47"/>
        <v>0.1118857183600545</v>
      </c>
    </row>
    <row r="1308" spans="1:7" x14ac:dyDescent="0.2">
      <c r="A1308">
        <v>32719</v>
      </c>
      <c r="C1308">
        <v>257.09100000000001</v>
      </c>
      <c r="E1308">
        <v>1118.79</v>
      </c>
      <c r="G1308">
        <f t="shared" si="47"/>
        <v>0.32848259816860992</v>
      </c>
    </row>
    <row r="1309" spans="1:7" x14ac:dyDescent="0.2">
      <c r="A1309">
        <v>34651.9</v>
      </c>
      <c r="C1309">
        <v>59.959899999999998</v>
      </c>
      <c r="E1309">
        <v>758.85900000000004</v>
      </c>
      <c r="G1309">
        <f t="shared" si="47"/>
        <v>0.7561611687852996</v>
      </c>
    </row>
    <row r="1310" spans="1:7" x14ac:dyDescent="0.2">
      <c r="A1310">
        <v>33890.1</v>
      </c>
      <c r="C1310">
        <v>141.89599999999999</v>
      </c>
      <c r="E1310">
        <v>1195.82</v>
      </c>
      <c r="G1310">
        <f t="shared" si="47"/>
        <v>0.29781784868152344</v>
      </c>
    </row>
    <row r="1311" spans="1:7" x14ac:dyDescent="0.2">
      <c r="A1311">
        <v>47717.9</v>
      </c>
      <c r="C1311">
        <v>107.381</v>
      </c>
      <c r="E1311">
        <v>1042.8900000000001</v>
      </c>
      <c r="G1311">
        <f t="shared" si="47"/>
        <v>0.55133277871494779</v>
      </c>
    </row>
    <row r="1312" spans="1:7" x14ac:dyDescent="0.2">
      <c r="A1312">
        <v>39579</v>
      </c>
      <c r="C1312">
        <v>25.498200000000001</v>
      </c>
      <c r="E1312">
        <v>749.20699999999999</v>
      </c>
      <c r="G1312">
        <f t="shared" si="47"/>
        <v>0.88607536333703685</v>
      </c>
    </row>
    <row r="1313" spans="1:7" x14ac:dyDescent="0.2">
      <c r="A1313">
        <v>46531.9</v>
      </c>
      <c r="C1313">
        <v>38.7194</v>
      </c>
      <c r="E1313">
        <v>810.67899999999997</v>
      </c>
      <c r="G1313">
        <f t="shared" si="47"/>
        <v>0.8897386099707757</v>
      </c>
    </row>
    <row r="1314" spans="1:7" x14ac:dyDescent="0.2">
      <c r="A1314">
        <v>39842.699999999997</v>
      </c>
      <c r="C1314">
        <v>47.586799999999997</v>
      </c>
      <c r="E1314">
        <v>793.83799999999997</v>
      </c>
      <c r="G1314">
        <f t="shared" si="47"/>
        <v>0.79450107685814575</v>
      </c>
    </row>
    <row r="1315" spans="1:7" x14ac:dyDescent="0.2">
      <c r="A1315">
        <v>32945.5</v>
      </c>
      <c r="C1315">
        <v>36.726100000000002</v>
      </c>
      <c r="E1315">
        <v>669.04600000000005</v>
      </c>
      <c r="G1315">
        <f t="shared" si="47"/>
        <v>0.92489758005424838</v>
      </c>
    </row>
    <row r="1316" spans="1:7" x14ac:dyDescent="0.2">
      <c r="A1316">
        <v>31320.9</v>
      </c>
      <c r="C1316">
        <v>30.966799999999999</v>
      </c>
      <c r="E1316">
        <v>690.94899999999996</v>
      </c>
      <c r="G1316">
        <f t="shared" si="47"/>
        <v>0.82442612372370838</v>
      </c>
    </row>
    <row r="1317" spans="1:7" x14ac:dyDescent="0.2">
      <c r="A1317">
        <v>41529.199999999997</v>
      </c>
      <c r="C1317">
        <v>38.582599999999999</v>
      </c>
      <c r="E1317">
        <v>781.82</v>
      </c>
      <c r="G1317">
        <f t="shared" si="47"/>
        <v>0.85378694564766311</v>
      </c>
    </row>
    <row r="1318" spans="1:7" x14ac:dyDescent="0.2">
      <c r="A1318">
        <v>34347.699999999997</v>
      </c>
      <c r="C1318">
        <v>43.4</v>
      </c>
      <c r="E1318">
        <v>724.77800000000002</v>
      </c>
      <c r="G1318">
        <f t="shared" si="47"/>
        <v>0.82166947592131379</v>
      </c>
    </row>
    <row r="1319" spans="1:7" x14ac:dyDescent="0.2">
      <c r="A1319">
        <v>32822.9</v>
      </c>
      <c r="C1319">
        <v>20.320399999999999</v>
      </c>
      <c r="E1319">
        <v>661.36800000000005</v>
      </c>
      <c r="G1319">
        <f t="shared" si="47"/>
        <v>0.9429748088783998</v>
      </c>
    </row>
    <row r="1320" spans="1:7" x14ac:dyDescent="0.2">
      <c r="A1320">
        <v>33632</v>
      </c>
      <c r="C1320">
        <v>24.701599999999999</v>
      </c>
      <c r="E1320">
        <v>669.40700000000004</v>
      </c>
      <c r="G1320">
        <f t="shared" si="47"/>
        <v>0.94315200558748091</v>
      </c>
    </row>
    <row r="1321" spans="1:7" x14ac:dyDescent="0.2">
      <c r="A1321">
        <v>44312.5</v>
      </c>
      <c r="C1321">
        <v>109.517</v>
      </c>
      <c r="E1321">
        <v>1053.9100000000001</v>
      </c>
      <c r="G1321">
        <f t="shared" si="47"/>
        <v>0.50133577773921045</v>
      </c>
    </row>
    <row r="1322" spans="1:7" x14ac:dyDescent="0.2">
      <c r="A1322">
        <v>48665.9</v>
      </c>
      <c r="C1322">
        <v>67.436000000000007</v>
      </c>
      <c r="E1322">
        <v>879.34400000000005</v>
      </c>
      <c r="G1322">
        <f t="shared" si="47"/>
        <v>0.79089102520296739</v>
      </c>
    </row>
    <row r="1323" spans="1:7" x14ac:dyDescent="0.2">
      <c r="A1323">
        <v>38955.1</v>
      </c>
      <c r="C1323">
        <v>48.492100000000001</v>
      </c>
      <c r="E1323">
        <v>784.92200000000003</v>
      </c>
      <c r="G1323">
        <f t="shared" si="47"/>
        <v>0.79454924110840763</v>
      </c>
    </row>
    <row r="1324" spans="1:7" x14ac:dyDescent="0.2">
      <c r="A1324">
        <v>37126.699999999997</v>
      </c>
      <c r="C1324">
        <v>72.867699999999999</v>
      </c>
      <c r="E1324">
        <v>786.80700000000002</v>
      </c>
      <c r="G1324">
        <f t="shared" si="47"/>
        <v>0.75363214759055652</v>
      </c>
    </row>
    <row r="1325" spans="1:7" x14ac:dyDescent="0.2">
      <c r="A1325">
        <v>44867.8</v>
      </c>
      <c r="C1325">
        <v>51.412199999999999</v>
      </c>
      <c r="E1325">
        <v>822.56700000000001</v>
      </c>
      <c r="G1325">
        <f t="shared" si="47"/>
        <v>0.8333006254397215</v>
      </c>
    </row>
    <row r="1326" spans="1:7" x14ac:dyDescent="0.2">
      <c r="A1326">
        <v>45116.6</v>
      </c>
      <c r="C1326">
        <v>30.681899999999999</v>
      </c>
      <c r="E1326">
        <v>769.03499999999997</v>
      </c>
      <c r="G1326">
        <f t="shared" si="47"/>
        <v>0.95863581304119672</v>
      </c>
    </row>
    <row r="1327" spans="1:7" x14ac:dyDescent="0.2">
      <c r="A1327">
        <v>26300.799999999999</v>
      </c>
      <c r="C1327">
        <v>339.99200000000002</v>
      </c>
      <c r="E1327">
        <v>1480.92</v>
      </c>
      <c r="G1327">
        <f t="shared" si="47"/>
        <v>0.15070069640179379</v>
      </c>
    </row>
    <row r="1328" spans="1:7" x14ac:dyDescent="0.2">
      <c r="A1328">
        <v>42033.8</v>
      </c>
      <c r="C1328">
        <v>59.514400000000002</v>
      </c>
      <c r="E1328">
        <v>894.327</v>
      </c>
      <c r="G1328">
        <f t="shared" si="47"/>
        <v>0.6604127752640423</v>
      </c>
    </row>
    <row r="1329" spans="1:7" x14ac:dyDescent="0.2">
      <c r="A1329">
        <v>34066.300000000003</v>
      </c>
      <c r="C1329">
        <v>32.871200000000002</v>
      </c>
      <c r="E1329">
        <v>702.024</v>
      </c>
      <c r="G1329">
        <f t="shared" si="47"/>
        <v>0.86862143996321683</v>
      </c>
    </row>
    <row r="1330" spans="1:7" x14ac:dyDescent="0.2">
      <c r="A1330">
        <v>35853.599999999999</v>
      </c>
      <c r="C1330">
        <v>30.295400000000001</v>
      </c>
      <c r="E1330">
        <v>691.23599999999999</v>
      </c>
      <c r="G1330">
        <f t="shared" si="47"/>
        <v>0.94295196397007341</v>
      </c>
    </row>
    <row r="1331" spans="1:7" x14ac:dyDescent="0.2">
      <c r="A1331">
        <v>36370.6</v>
      </c>
      <c r="C1331">
        <v>37.936999999999998</v>
      </c>
      <c r="E1331">
        <v>762.37800000000004</v>
      </c>
      <c r="G1331">
        <f t="shared" si="47"/>
        <v>0.78635608554533376</v>
      </c>
    </row>
    <row r="1332" spans="1:7" x14ac:dyDescent="0.2">
      <c r="A1332">
        <v>716.51800000000003</v>
      </c>
      <c r="C1332">
        <v>8.1738900000000001</v>
      </c>
      <c r="E1332">
        <v>96.281000000000006</v>
      </c>
      <c r="G1332">
        <f t="shared" si="47"/>
        <v>0.97130453742397149</v>
      </c>
    </row>
    <row r="1333" spans="1:7" x14ac:dyDescent="0.2">
      <c r="A1333">
        <v>47426.1</v>
      </c>
      <c r="C1333">
        <v>78.949399999999997</v>
      </c>
      <c r="E1333">
        <v>1056.77</v>
      </c>
      <c r="G1333">
        <f t="shared" si="47"/>
        <v>0.53366160516676697</v>
      </c>
    </row>
    <row r="1334" spans="1:7" x14ac:dyDescent="0.2">
      <c r="A1334">
        <v>34436.1</v>
      </c>
      <c r="C1334">
        <v>34.786999999999999</v>
      </c>
      <c r="E1334">
        <v>684.62800000000004</v>
      </c>
      <c r="G1334">
        <f t="shared" si="47"/>
        <v>0.92323900337828413</v>
      </c>
    </row>
    <row r="1335" spans="1:7" x14ac:dyDescent="0.2">
      <c r="A1335">
        <v>34865.199999999997</v>
      </c>
      <c r="C1335">
        <v>29.6723</v>
      </c>
      <c r="E1335">
        <v>678.41899999999998</v>
      </c>
      <c r="G1335">
        <f t="shared" si="47"/>
        <v>0.95193140156527578</v>
      </c>
    </row>
    <row r="1336" spans="1:7" x14ac:dyDescent="0.2">
      <c r="A1336">
        <v>37208.400000000001</v>
      </c>
      <c r="C1336">
        <v>136.86799999999999</v>
      </c>
      <c r="E1336">
        <v>890.32399999999996</v>
      </c>
      <c r="G1336">
        <f t="shared" si="47"/>
        <v>0.58986731375445078</v>
      </c>
    </row>
    <row r="1337" spans="1:7" x14ac:dyDescent="0.2">
      <c r="A1337">
        <v>40073.300000000003</v>
      </c>
      <c r="C1337">
        <v>45.972999999999999</v>
      </c>
      <c r="E1337">
        <v>777.88199999999995</v>
      </c>
      <c r="G1337">
        <f t="shared" si="47"/>
        <v>0.83221810671078711</v>
      </c>
    </row>
    <row r="1338" spans="1:7" x14ac:dyDescent="0.2">
      <c r="A1338">
        <v>39044.300000000003</v>
      </c>
      <c r="C1338">
        <v>43.297699999999999</v>
      </c>
      <c r="E1338">
        <v>747.32299999999998</v>
      </c>
      <c r="G1338">
        <f t="shared" si="47"/>
        <v>0.8785175488347714</v>
      </c>
    </row>
    <row r="1339" spans="1:7" x14ac:dyDescent="0.2">
      <c r="A1339">
        <v>35918.199999999997</v>
      </c>
      <c r="C1339">
        <v>26.682099999999998</v>
      </c>
      <c r="E1339">
        <v>696.22</v>
      </c>
      <c r="G1339">
        <f t="shared" si="47"/>
        <v>0.93117449424881837</v>
      </c>
    </row>
    <row r="1340" spans="1:7" x14ac:dyDescent="0.2">
      <c r="A1340">
        <v>1234.01</v>
      </c>
      <c r="C1340">
        <v>88.340699999999998</v>
      </c>
      <c r="E1340">
        <v>552.66800000000001</v>
      </c>
      <c r="G1340">
        <f t="shared" si="47"/>
        <v>5.0769108555125425E-2</v>
      </c>
    </row>
    <row r="1341" spans="1:7" x14ac:dyDescent="0.2">
      <c r="A1341">
        <v>45598.1</v>
      </c>
      <c r="C1341">
        <v>38.678899999999999</v>
      </c>
      <c r="E1341">
        <v>913.38199999999995</v>
      </c>
      <c r="G1341">
        <f t="shared" si="47"/>
        <v>0.68683330531894904</v>
      </c>
    </row>
    <row r="1342" spans="1:7" x14ac:dyDescent="0.2">
      <c r="A1342">
        <v>45816.3</v>
      </c>
      <c r="C1342">
        <v>44.059899999999999</v>
      </c>
      <c r="E1342">
        <v>962.75199999999995</v>
      </c>
      <c r="G1342">
        <f t="shared" si="47"/>
        <v>0.62115595341580476</v>
      </c>
    </row>
    <row r="1343" spans="1:7" x14ac:dyDescent="0.2">
      <c r="A1343">
        <v>47068.4</v>
      </c>
      <c r="C1343">
        <v>66.698099999999997</v>
      </c>
      <c r="E1343">
        <v>1049.3699999999999</v>
      </c>
      <c r="G1343">
        <f t="shared" si="47"/>
        <v>0.53713276415690303</v>
      </c>
    </row>
    <row r="1344" spans="1:7" x14ac:dyDescent="0.2">
      <c r="A1344">
        <v>39221.599999999999</v>
      </c>
      <c r="C1344">
        <v>31.423200000000001</v>
      </c>
      <c r="E1344">
        <v>715.75199999999995</v>
      </c>
      <c r="G1344">
        <f t="shared" si="47"/>
        <v>0.96207662496629964</v>
      </c>
    </row>
    <row r="1345" spans="1:7" x14ac:dyDescent="0.2">
      <c r="A1345">
        <v>37077.300000000003</v>
      </c>
      <c r="C1345">
        <v>18.7761</v>
      </c>
      <c r="E1345">
        <v>708.69</v>
      </c>
      <c r="G1345">
        <f t="shared" si="47"/>
        <v>0.92769451487405619</v>
      </c>
    </row>
    <row r="1346" spans="1:7" x14ac:dyDescent="0.2">
      <c r="A1346">
        <v>37173.599999999999</v>
      </c>
      <c r="C1346">
        <v>59.131300000000003</v>
      </c>
      <c r="E1346">
        <v>846.39800000000002</v>
      </c>
      <c r="G1346">
        <f t="shared" si="47"/>
        <v>0.65207096360193995</v>
      </c>
    </row>
    <row r="1347" spans="1:7" x14ac:dyDescent="0.2">
      <c r="A1347">
        <v>35512.300000000003</v>
      </c>
      <c r="C1347">
        <v>21.110900000000001</v>
      </c>
      <c r="E1347">
        <v>675.98800000000006</v>
      </c>
      <c r="G1347">
        <f t="shared" ref="G1347:G1410" si="48" xml:space="preserve"> 3.14159*4*A1347/(E1347*E1347)</f>
        <v>0.97658561984101555</v>
      </c>
    </row>
    <row r="1348" spans="1:7" x14ac:dyDescent="0.2">
      <c r="A1348">
        <v>39512.6</v>
      </c>
      <c r="C1348">
        <v>23.2087</v>
      </c>
      <c r="E1348">
        <v>730.25699999999995</v>
      </c>
      <c r="G1348">
        <f t="shared" si="48"/>
        <v>0.93109425680449864</v>
      </c>
    </row>
    <row r="1349" spans="1:7" x14ac:dyDescent="0.2">
      <c r="A1349">
        <v>38896.800000000003</v>
      </c>
      <c r="C1349">
        <v>20.704499999999999</v>
      </c>
      <c r="E1349">
        <v>710.85699999999997</v>
      </c>
      <c r="G1349">
        <f t="shared" si="48"/>
        <v>0.96729486492032868</v>
      </c>
    </row>
    <row r="1350" spans="1:7" x14ac:dyDescent="0.2">
      <c r="A1350">
        <v>35909</v>
      </c>
      <c r="C1350">
        <v>28.232500000000002</v>
      </c>
      <c r="E1350">
        <v>690.31700000000001</v>
      </c>
      <c r="G1350">
        <f t="shared" si="48"/>
        <v>0.94692519258493202</v>
      </c>
    </row>
    <row r="1351" spans="1:7" x14ac:dyDescent="0.2">
      <c r="A1351">
        <v>41690.9</v>
      </c>
      <c r="C1351">
        <v>40.0762</v>
      </c>
      <c r="E1351">
        <v>804.82899999999995</v>
      </c>
      <c r="G1351">
        <f t="shared" si="48"/>
        <v>0.80880445419240421</v>
      </c>
    </row>
    <row r="1352" spans="1:7" x14ac:dyDescent="0.2">
      <c r="A1352">
        <v>38618.199999999997</v>
      </c>
      <c r="C1352">
        <v>62.948399999999999</v>
      </c>
      <c r="E1352">
        <v>779.51800000000003</v>
      </c>
      <c r="G1352">
        <f t="shared" si="48"/>
        <v>0.79863663554987652</v>
      </c>
    </row>
    <row r="1353" spans="1:7" x14ac:dyDescent="0.2">
      <c r="A1353">
        <v>37332.699999999997</v>
      </c>
      <c r="C1353">
        <v>46.653300000000002</v>
      </c>
      <c r="E1353">
        <v>757.90800000000002</v>
      </c>
      <c r="G1353">
        <f t="shared" si="48"/>
        <v>0.81670631769992541</v>
      </c>
    </row>
    <row r="1354" spans="1:7" x14ac:dyDescent="0.2">
      <c r="A1354">
        <v>44398</v>
      </c>
      <c r="C1354">
        <v>41.757800000000003</v>
      </c>
      <c r="E1354">
        <v>888.10900000000004</v>
      </c>
      <c r="G1354">
        <f t="shared" si="48"/>
        <v>0.70735977870665079</v>
      </c>
    </row>
    <row r="1355" spans="1:7" x14ac:dyDescent="0.2">
      <c r="A1355">
        <v>48949.4</v>
      </c>
      <c r="C1355">
        <v>49.408200000000001</v>
      </c>
      <c r="E1355">
        <v>1068</v>
      </c>
      <c r="G1355">
        <f t="shared" si="48"/>
        <v>0.53928006265342476</v>
      </c>
    </row>
    <row r="1356" spans="1:7" x14ac:dyDescent="0.2">
      <c r="A1356">
        <v>48630</v>
      </c>
      <c r="C1356">
        <v>33.577399999999997</v>
      </c>
      <c r="E1356">
        <v>815.37699999999995</v>
      </c>
      <c r="G1356">
        <f t="shared" si="48"/>
        <v>0.91917214149770177</v>
      </c>
    </row>
    <row r="1357" spans="1:7" x14ac:dyDescent="0.2">
      <c r="A1357">
        <v>40248.9</v>
      </c>
      <c r="C1357">
        <v>28.032499999999999</v>
      </c>
      <c r="E1357">
        <v>727.94399999999996</v>
      </c>
      <c r="G1357">
        <f t="shared" si="48"/>
        <v>0.95448162326481589</v>
      </c>
    </row>
    <row r="1358" spans="1:7" x14ac:dyDescent="0.2">
      <c r="A1358">
        <v>43099.3</v>
      </c>
      <c r="C1358">
        <v>27.537299999999998</v>
      </c>
      <c r="E1358">
        <v>752.82399999999996</v>
      </c>
      <c r="G1358">
        <f t="shared" si="48"/>
        <v>0.95563666040020168</v>
      </c>
    </row>
    <row r="1359" spans="1:7" x14ac:dyDescent="0.2">
      <c r="A1359">
        <v>38551.5</v>
      </c>
      <c r="C1359">
        <v>29.017299999999999</v>
      </c>
      <c r="E1359">
        <v>708.97900000000004</v>
      </c>
      <c r="G1359">
        <f t="shared" si="48"/>
        <v>0.96379359267720421</v>
      </c>
    </row>
    <row r="1360" spans="1:7" x14ac:dyDescent="0.2">
      <c r="A1360">
        <v>40310.199999999997</v>
      </c>
      <c r="C1360">
        <v>32.845300000000002</v>
      </c>
      <c r="E1360">
        <v>748.85699999999997</v>
      </c>
      <c r="G1360">
        <f t="shared" si="48"/>
        <v>0.90328887742487884</v>
      </c>
    </row>
    <row r="1361" spans="1:7" x14ac:dyDescent="0.2">
      <c r="A1361">
        <v>48397.4</v>
      </c>
      <c r="C1361">
        <v>35.249000000000002</v>
      </c>
      <c r="E1361">
        <v>833.971</v>
      </c>
      <c r="G1361">
        <f t="shared" si="48"/>
        <v>0.87443922430797061</v>
      </c>
    </row>
    <row r="1362" spans="1:7" x14ac:dyDescent="0.2">
      <c r="A1362">
        <v>32826.300000000003</v>
      </c>
      <c r="C1362">
        <v>133.56700000000001</v>
      </c>
      <c r="E1362">
        <v>1048.82</v>
      </c>
      <c r="G1362">
        <f t="shared" si="48"/>
        <v>0.37499848286680859</v>
      </c>
    </row>
    <row r="1363" spans="1:7" x14ac:dyDescent="0.2">
      <c r="A1363">
        <v>38177.599999999999</v>
      </c>
      <c r="C1363">
        <v>21.818100000000001</v>
      </c>
      <c r="E1363">
        <v>703.71500000000003</v>
      </c>
      <c r="G1363">
        <f t="shared" si="48"/>
        <v>0.96877852671052278</v>
      </c>
    </row>
    <row r="1364" spans="1:7" x14ac:dyDescent="0.2">
      <c r="A1364">
        <v>35523.300000000003</v>
      </c>
      <c r="C1364">
        <v>27.590399999999999</v>
      </c>
      <c r="E1364">
        <v>710.69899999999996</v>
      </c>
      <c r="G1364">
        <f t="shared" si="48"/>
        <v>0.88379469832050728</v>
      </c>
    </row>
    <row r="1365" spans="1:7" x14ac:dyDescent="0.2">
      <c r="A1365">
        <v>31093.5</v>
      </c>
      <c r="C1365">
        <v>26.370699999999999</v>
      </c>
      <c r="E1365">
        <v>633.99400000000003</v>
      </c>
      <c r="G1365">
        <f t="shared" si="48"/>
        <v>0.9720952301384117</v>
      </c>
    </row>
    <row r="1366" spans="1:7" x14ac:dyDescent="0.2">
      <c r="A1366">
        <v>12682.3</v>
      </c>
      <c r="C1366">
        <v>162.77099999999999</v>
      </c>
      <c r="E1366">
        <v>1337.83</v>
      </c>
      <c r="G1366">
        <f t="shared" si="48"/>
        <v>8.9044204501807819E-2</v>
      </c>
    </row>
    <row r="1367" spans="1:7" x14ac:dyDescent="0.2">
      <c r="A1367">
        <v>7767.17</v>
      </c>
      <c r="C1367">
        <v>718.875</v>
      </c>
      <c r="E1367">
        <v>1202.82</v>
      </c>
      <c r="G1367">
        <f t="shared" si="48"/>
        <v>6.7463835184215504E-2</v>
      </c>
    </row>
    <row r="1368" spans="1:7" x14ac:dyDescent="0.2">
      <c r="A1368">
        <v>26223</v>
      </c>
      <c r="C1368">
        <v>28.997199999999999</v>
      </c>
      <c r="E1368">
        <v>601.41300000000001</v>
      </c>
      <c r="G1368">
        <f t="shared" si="48"/>
        <v>0.91105846819509329</v>
      </c>
    </row>
    <row r="1369" spans="1:7" x14ac:dyDescent="0.2">
      <c r="A1369">
        <v>34331.4</v>
      </c>
      <c r="C1369">
        <v>32.871299999999998</v>
      </c>
      <c r="E1369">
        <v>686.00699999999995</v>
      </c>
      <c r="G1369">
        <f t="shared" si="48"/>
        <v>0.91673521945369774</v>
      </c>
    </row>
    <row r="1370" spans="1:7" x14ac:dyDescent="0.2">
      <c r="A1370">
        <v>49353.5</v>
      </c>
      <c r="C1370">
        <v>28.716899999999999</v>
      </c>
      <c r="E1370">
        <v>799.87099999999998</v>
      </c>
      <c r="G1370">
        <f t="shared" si="48"/>
        <v>0.96936548306952286</v>
      </c>
    </row>
    <row r="1371" spans="1:7" x14ac:dyDescent="0.2">
      <c r="A1371">
        <v>49311.5</v>
      </c>
      <c r="C1371">
        <v>39.804900000000004</v>
      </c>
      <c r="E1371">
        <v>850.495</v>
      </c>
      <c r="G1371">
        <f t="shared" si="48"/>
        <v>0.85667122822917297</v>
      </c>
    </row>
    <row r="1372" spans="1:7" x14ac:dyDescent="0.2">
      <c r="A1372">
        <v>36381.5</v>
      </c>
      <c r="C1372">
        <v>107.485</v>
      </c>
      <c r="E1372">
        <v>810.04</v>
      </c>
      <c r="G1372">
        <f t="shared" si="48"/>
        <v>0.69675030605908694</v>
      </c>
    </row>
    <row r="1373" spans="1:7" x14ac:dyDescent="0.2">
      <c r="A1373">
        <v>42854.400000000001</v>
      </c>
      <c r="C1373">
        <v>42.696899999999999</v>
      </c>
      <c r="E1373">
        <v>789.87800000000004</v>
      </c>
      <c r="G1373">
        <f t="shared" si="48"/>
        <v>0.8631472286439833</v>
      </c>
    </row>
    <row r="1374" spans="1:7" x14ac:dyDescent="0.2">
      <c r="A1374">
        <v>31278.2</v>
      </c>
      <c r="C1374">
        <v>40.405500000000004</v>
      </c>
      <c r="E1374">
        <v>660.93</v>
      </c>
      <c r="G1374">
        <f t="shared" si="48"/>
        <v>0.89978825313496646</v>
      </c>
    </row>
    <row r="1375" spans="1:7" x14ac:dyDescent="0.2">
      <c r="A1375">
        <v>5272.72</v>
      </c>
      <c r="C1375">
        <v>122.517</v>
      </c>
      <c r="E1375">
        <v>1183.79</v>
      </c>
      <c r="G1375">
        <f t="shared" si="48"/>
        <v>4.7281894827092115E-2</v>
      </c>
    </row>
    <row r="1376" spans="1:7" x14ac:dyDescent="0.2">
      <c r="A1376">
        <v>25420.3</v>
      </c>
      <c r="C1376">
        <v>32.721600000000002</v>
      </c>
      <c r="E1376">
        <v>582.89599999999996</v>
      </c>
      <c r="G1376">
        <f t="shared" si="48"/>
        <v>0.9401735276567964</v>
      </c>
    </row>
    <row r="1377" spans="1:7" x14ac:dyDescent="0.2">
      <c r="A1377">
        <v>32884.5</v>
      </c>
      <c r="C1377">
        <v>32.397100000000002</v>
      </c>
      <c r="E1377">
        <v>661.52800000000002</v>
      </c>
      <c r="G1377">
        <f t="shared" si="48"/>
        <v>0.94428758134159985</v>
      </c>
    </row>
    <row r="1378" spans="1:7" x14ac:dyDescent="0.2">
      <c r="A1378">
        <v>42700.5</v>
      </c>
      <c r="C1378">
        <v>30.529199999999999</v>
      </c>
      <c r="E1378">
        <v>749.71900000000005</v>
      </c>
      <c r="G1378">
        <f t="shared" si="48"/>
        <v>0.95465273942992823</v>
      </c>
    </row>
    <row r="1379" spans="1:7" x14ac:dyDescent="0.2">
      <c r="A1379">
        <v>34829.699999999997</v>
      </c>
      <c r="C1379">
        <v>31.279</v>
      </c>
      <c r="E1379">
        <v>681.14800000000002</v>
      </c>
      <c r="G1379">
        <f t="shared" si="48"/>
        <v>0.94335739749125691</v>
      </c>
    </row>
    <row r="1380" spans="1:7" x14ac:dyDescent="0.2">
      <c r="A1380">
        <v>43014.400000000001</v>
      </c>
      <c r="C1380">
        <v>41.622500000000002</v>
      </c>
      <c r="E1380">
        <v>779.48800000000006</v>
      </c>
      <c r="G1380">
        <f t="shared" si="48"/>
        <v>0.88961992044433391</v>
      </c>
    </row>
    <row r="1381" spans="1:7" x14ac:dyDescent="0.2">
      <c r="A1381">
        <v>34411.4</v>
      </c>
      <c r="C1381">
        <v>31.845400000000001</v>
      </c>
      <c r="E1381">
        <v>685.31399999999996</v>
      </c>
      <c r="G1381">
        <f t="shared" si="48"/>
        <v>0.92073071508257287</v>
      </c>
    </row>
    <row r="1382" spans="1:7" x14ac:dyDescent="0.2">
      <c r="A1382">
        <v>30412.5</v>
      </c>
      <c r="C1382">
        <v>45.762099999999997</v>
      </c>
      <c r="E1382">
        <v>681.83399999999995</v>
      </c>
      <c r="G1382">
        <f t="shared" si="48"/>
        <v>0.82206150467704997</v>
      </c>
    </row>
    <row r="1383" spans="1:7" x14ac:dyDescent="0.2">
      <c r="A1383">
        <v>29495</v>
      </c>
      <c r="C1383">
        <v>27.377500000000001</v>
      </c>
      <c r="E1383">
        <v>617.10299999999995</v>
      </c>
      <c r="G1383">
        <f t="shared" si="48"/>
        <v>0.97329071939914669</v>
      </c>
    </row>
    <row r="1384" spans="1:7" x14ac:dyDescent="0.2">
      <c r="A1384">
        <v>32645.599999999999</v>
      </c>
      <c r="C1384">
        <v>29.651599999999998</v>
      </c>
      <c r="E1384">
        <v>648.71299999999997</v>
      </c>
      <c r="G1384">
        <f t="shared" si="48"/>
        <v>0.97483014355206377</v>
      </c>
    </row>
    <row r="1385" spans="1:7" x14ac:dyDescent="0.2">
      <c r="A1385">
        <v>26410.3</v>
      </c>
      <c r="C1385">
        <v>35.264299999999999</v>
      </c>
      <c r="E1385">
        <v>597.65200000000004</v>
      </c>
      <c r="G1385">
        <f t="shared" si="48"/>
        <v>0.9291505264663541</v>
      </c>
    </row>
    <row r="1386" spans="1:7" x14ac:dyDescent="0.2">
      <c r="A1386">
        <v>37830.5</v>
      </c>
      <c r="C1386">
        <v>32.69</v>
      </c>
      <c r="E1386">
        <v>727.97799999999995</v>
      </c>
      <c r="G1386">
        <f t="shared" si="48"/>
        <v>0.89704673300850812</v>
      </c>
    </row>
    <row r="1387" spans="1:7" x14ac:dyDescent="0.2">
      <c r="A1387">
        <v>28352</v>
      </c>
      <c r="C1387">
        <v>36.906599999999997</v>
      </c>
      <c r="E1387">
        <v>619.46600000000001</v>
      </c>
      <c r="G1387">
        <f t="shared" si="48"/>
        <v>0.92844941736024234</v>
      </c>
    </row>
    <row r="1388" spans="1:7" x14ac:dyDescent="0.2">
      <c r="A1388">
        <v>30961</v>
      </c>
      <c r="C1388">
        <v>27.623100000000001</v>
      </c>
      <c r="E1388">
        <v>644.63300000000004</v>
      </c>
      <c r="G1388">
        <f t="shared" si="48"/>
        <v>0.9362663359814124</v>
      </c>
    </row>
    <row r="1389" spans="1:7" x14ac:dyDescent="0.2">
      <c r="A1389">
        <v>26196.3</v>
      </c>
      <c r="C1389">
        <v>27.087499999999999</v>
      </c>
      <c r="E1389">
        <v>597.17499999999995</v>
      </c>
      <c r="G1389">
        <f t="shared" si="48"/>
        <v>0.92309461203012211</v>
      </c>
    </row>
    <row r="1390" spans="1:7" x14ac:dyDescent="0.2">
      <c r="A1390">
        <v>23346.5</v>
      </c>
      <c r="C1390">
        <v>24.3245</v>
      </c>
      <c r="E1390">
        <v>555.65200000000004</v>
      </c>
      <c r="G1390">
        <f t="shared" si="48"/>
        <v>0.95022295087222586</v>
      </c>
    </row>
    <row r="1391" spans="1:7" x14ac:dyDescent="0.2">
      <c r="A1391">
        <v>33078.5</v>
      </c>
      <c r="C1391">
        <v>34.420299999999997</v>
      </c>
      <c r="E1391">
        <v>707.62900000000002</v>
      </c>
      <c r="G1391">
        <f t="shared" si="48"/>
        <v>0.83012608149750544</v>
      </c>
    </row>
    <row r="1392" spans="1:7" x14ac:dyDescent="0.2">
      <c r="A1392">
        <v>37183.699999999997</v>
      </c>
      <c r="C1392">
        <v>25.415900000000001</v>
      </c>
      <c r="E1392">
        <v>695.42600000000004</v>
      </c>
      <c r="G1392">
        <f t="shared" si="48"/>
        <v>0.96618491435730824</v>
      </c>
    </row>
    <row r="1393" spans="1:7" x14ac:dyDescent="0.2">
      <c r="A1393">
        <v>2617.4499999999998</v>
      </c>
      <c r="C1393">
        <v>373.214</v>
      </c>
      <c r="E1393">
        <v>332.84199999999998</v>
      </c>
      <c r="G1393">
        <f t="shared" si="48"/>
        <v>0.29690098988653035</v>
      </c>
    </row>
    <row r="1394" spans="1:7" x14ac:dyDescent="0.2">
      <c r="A1394">
        <v>26022.7</v>
      </c>
      <c r="C1394">
        <v>31.6798</v>
      </c>
      <c r="E1394">
        <v>593.41099999999994</v>
      </c>
      <c r="G1394">
        <f t="shared" si="48"/>
        <v>0.92864701515167125</v>
      </c>
    </row>
    <row r="1395" spans="1:7" x14ac:dyDescent="0.2">
      <c r="A1395">
        <v>37230.300000000003</v>
      </c>
      <c r="C1395">
        <v>38.209400000000002</v>
      </c>
      <c r="E1395">
        <v>725.15</v>
      </c>
      <c r="G1395">
        <f t="shared" si="48"/>
        <v>0.88971380725110538</v>
      </c>
    </row>
    <row r="1396" spans="1:7" x14ac:dyDescent="0.2">
      <c r="A1396">
        <v>27750.3</v>
      </c>
      <c r="C1396">
        <v>32.948099999999997</v>
      </c>
      <c r="E1396">
        <v>610.447</v>
      </c>
      <c r="G1396">
        <f t="shared" si="48"/>
        <v>0.93579614581389337</v>
      </c>
    </row>
    <row r="1397" spans="1:7" x14ac:dyDescent="0.2">
      <c r="A1397">
        <v>30431.5</v>
      </c>
      <c r="C1397">
        <v>27.853200000000001</v>
      </c>
      <c r="E1397">
        <v>639.28399999999999</v>
      </c>
      <c r="G1397">
        <f t="shared" si="48"/>
        <v>0.93571843718662506</v>
      </c>
    </row>
    <row r="1398" spans="1:7" x14ac:dyDescent="0.2">
      <c r="A1398">
        <v>36621.1</v>
      </c>
      <c r="C1398">
        <v>27.968</v>
      </c>
      <c r="E1398">
        <v>692.00900000000001</v>
      </c>
      <c r="G1398">
        <f t="shared" si="48"/>
        <v>0.96098674376708126</v>
      </c>
    </row>
    <row r="1399" spans="1:7" x14ac:dyDescent="0.2">
      <c r="A1399">
        <v>32551.3</v>
      </c>
      <c r="C1399">
        <v>40.6599</v>
      </c>
      <c r="E1399">
        <v>666.30600000000004</v>
      </c>
      <c r="G1399">
        <f t="shared" si="48"/>
        <v>0.92136219132881014</v>
      </c>
    </row>
    <row r="1400" spans="1:7" x14ac:dyDescent="0.2">
      <c r="A1400">
        <v>37370.699999999997</v>
      </c>
      <c r="C1400">
        <v>26.856100000000001</v>
      </c>
      <c r="E1400">
        <v>703.74300000000005</v>
      </c>
      <c r="G1400">
        <f t="shared" si="48"/>
        <v>0.94822751654253834</v>
      </c>
    </row>
    <row r="1401" spans="1:7" x14ac:dyDescent="0.2">
      <c r="A1401">
        <v>32344.3</v>
      </c>
      <c r="C1401">
        <v>31.045200000000001</v>
      </c>
      <c r="E1401">
        <v>647.35900000000004</v>
      </c>
      <c r="G1401">
        <f t="shared" si="48"/>
        <v>0.96987747527547585</v>
      </c>
    </row>
    <row r="1402" spans="1:7" x14ac:dyDescent="0.2">
      <c r="A1402">
        <v>39163.9</v>
      </c>
      <c r="C1402">
        <v>46.160800000000002</v>
      </c>
      <c r="E1402">
        <v>777.78499999999997</v>
      </c>
      <c r="G1402">
        <f t="shared" si="48"/>
        <v>0.81353511547615798</v>
      </c>
    </row>
    <row r="1403" spans="1:7" x14ac:dyDescent="0.2">
      <c r="A1403">
        <v>31514.5</v>
      </c>
      <c r="C1403">
        <v>25.5425</v>
      </c>
      <c r="E1403">
        <v>659.32500000000005</v>
      </c>
      <c r="G1403">
        <f t="shared" si="48"/>
        <v>0.91100514860120019</v>
      </c>
    </row>
    <row r="1404" spans="1:7" x14ac:dyDescent="0.2">
      <c r="A1404">
        <v>35050.400000000001</v>
      </c>
      <c r="C1404">
        <v>38.695599999999999</v>
      </c>
      <c r="E1404">
        <v>708.45500000000004</v>
      </c>
      <c r="G1404">
        <f t="shared" si="48"/>
        <v>0.87756225672681432</v>
      </c>
    </row>
    <row r="1405" spans="1:7" x14ac:dyDescent="0.2">
      <c r="A1405">
        <v>33093.800000000003</v>
      </c>
      <c r="C1405">
        <v>23.451699999999999</v>
      </c>
      <c r="E1405">
        <v>656.65300000000002</v>
      </c>
      <c r="G1405">
        <f t="shared" si="48"/>
        <v>0.96446010935010096</v>
      </c>
    </row>
    <row r="1406" spans="1:7" x14ac:dyDescent="0.2">
      <c r="A1406">
        <v>42862.8</v>
      </c>
      <c r="C1406">
        <v>63.158799999999999</v>
      </c>
      <c r="E1406">
        <v>836.67399999999998</v>
      </c>
      <c r="G1406">
        <f t="shared" si="48"/>
        <v>0.76944483433788102</v>
      </c>
    </row>
    <row r="1407" spans="1:7" x14ac:dyDescent="0.2">
      <c r="A1407">
        <v>38297.199999999997</v>
      </c>
      <c r="C1407">
        <v>33.604399999999998</v>
      </c>
      <c r="E1407">
        <v>710.89499999999998</v>
      </c>
      <c r="G1407">
        <f t="shared" si="48"/>
        <v>0.95228205539786037</v>
      </c>
    </row>
    <row r="1408" spans="1:7" x14ac:dyDescent="0.2">
      <c r="A1408">
        <v>40352.699999999997</v>
      </c>
      <c r="C1408">
        <v>37.988</v>
      </c>
      <c r="E1408">
        <v>758.61699999999996</v>
      </c>
      <c r="G1408">
        <f t="shared" si="48"/>
        <v>0.88112384549716649</v>
      </c>
    </row>
    <row r="1409" spans="1:7" x14ac:dyDescent="0.2">
      <c r="A1409">
        <v>26266.1</v>
      </c>
      <c r="C1409">
        <v>26.779800000000002</v>
      </c>
      <c r="E1409">
        <v>583.30999999999995</v>
      </c>
      <c r="G1409">
        <f t="shared" si="48"/>
        <v>0.97007708724799946</v>
      </c>
    </row>
    <row r="1410" spans="1:7" x14ac:dyDescent="0.2">
      <c r="A1410">
        <v>37199</v>
      </c>
      <c r="C1410">
        <v>33.211100000000002</v>
      </c>
      <c r="E1410">
        <v>702.98500000000001</v>
      </c>
      <c r="G1410">
        <f t="shared" si="48"/>
        <v>0.94590744930844384</v>
      </c>
    </row>
    <row r="1411" spans="1:7" x14ac:dyDescent="0.2">
      <c r="A1411">
        <v>37504.800000000003</v>
      </c>
      <c r="C1411">
        <v>22.256699999999999</v>
      </c>
      <c r="E1411">
        <v>703.87099999999998</v>
      </c>
      <c r="G1411">
        <f t="shared" ref="G1411:G1474" si="49" xml:space="preserve"> 3.14159*4*A1411/(E1411*E1411)</f>
        <v>0.95128403102160752</v>
      </c>
    </row>
    <row r="1412" spans="1:7" x14ac:dyDescent="0.2">
      <c r="A1412">
        <v>32931</v>
      </c>
      <c r="C1412">
        <v>29.477599999999999</v>
      </c>
      <c r="E1412">
        <v>653.101</v>
      </c>
      <c r="G1412">
        <f t="shared" si="49"/>
        <v>0.97018313001651912</v>
      </c>
    </row>
    <row r="1413" spans="1:7" x14ac:dyDescent="0.2">
      <c r="A1413">
        <v>29369</v>
      </c>
      <c r="C1413">
        <v>34.742699999999999</v>
      </c>
      <c r="E1413">
        <v>632.37599999999998</v>
      </c>
      <c r="G1413">
        <f t="shared" si="49"/>
        <v>0.92288566044001741</v>
      </c>
    </row>
    <row r="1414" spans="1:7" x14ac:dyDescent="0.2">
      <c r="A1414">
        <v>46353.9</v>
      </c>
      <c r="C1414">
        <v>32.429299999999998</v>
      </c>
      <c r="E1414">
        <v>812.13800000000003</v>
      </c>
      <c r="G1414">
        <f t="shared" si="49"/>
        <v>0.88315333532259632</v>
      </c>
    </row>
    <row r="1415" spans="1:7" x14ac:dyDescent="0.2">
      <c r="A1415">
        <v>45306.9</v>
      </c>
      <c r="C1415">
        <v>39.263399999999997</v>
      </c>
      <c r="E1415">
        <v>807.79700000000003</v>
      </c>
      <c r="G1415">
        <f t="shared" si="49"/>
        <v>0.87250791038226427</v>
      </c>
    </row>
    <row r="1416" spans="1:7" x14ac:dyDescent="0.2">
      <c r="A1416">
        <v>36138.699999999997</v>
      </c>
      <c r="C1416">
        <v>31.904299999999999</v>
      </c>
      <c r="E1416">
        <v>704.03800000000001</v>
      </c>
      <c r="G1416">
        <f t="shared" si="49"/>
        <v>0.91619901798317727</v>
      </c>
    </row>
    <row r="1417" spans="1:7" x14ac:dyDescent="0.2">
      <c r="A1417">
        <v>34497.4</v>
      </c>
      <c r="C1417">
        <v>28.718499999999999</v>
      </c>
      <c r="E1417">
        <v>677.56899999999996</v>
      </c>
      <c r="G1417">
        <f t="shared" si="49"/>
        <v>0.94425393978035665</v>
      </c>
    </row>
    <row r="1418" spans="1:7" x14ac:dyDescent="0.2">
      <c r="A1418">
        <v>29535.8</v>
      </c>
      <c r="C1418">
        <v>31.1599</v>
      </c>
      <c r="E1418">
        <v>617.87900000000002</v>
      </c>
      <c r="G1418">
        <f t="shared" si="49"/>
        <v>0.97219048390300078</v>
      </c>
    </row>
    <row r="1419" spans="1:7" x14ac:dyDescent="0.2">
      <c r="A1419">
        <v>27091.3</v>
      </c>
      <c r="C1419">
        <v>42.144300000000001</v>
      </c>
      <c r="E1419">
        <v>599.87900000000002</v>
      </c>
      <c r="G1419">
        <f t="shared" si="49"/>
        <v>0.94604550173277602</v>
      </c>
    </row>
    <row r="1420" spans="1:7" x14ac:dyDescent="0.2">
      <c r="A1420">
        <v>37714.300000000003</v>
      </c>
      <c r="C1420">
        <v>52.685400000000001</v>
      </c>
      <c r="E1420">
        <v>772.88699999999994</v>
      </c>
      <c r="G1420">
        <f t="shared" si="49"/>
        <v>0.79338419298314078</v>
      </c>
    </row>
    <row r="1421" spans="1:7" x14ac:dyDescent="0.2">
      <c r="A1421">
        <v>28034.3</v>
      </c>
      <c r="C1421">
        <v>29.363</v>
      </c>
      <c r="E1421">
        <v>609.548</v>
      </c>
      <c r="G1421">
        <f t="shared" si="49"/>
        <v>0.94816384817729649</v>
      </c>
    </row>
    <row r="1422" spans="1:7" x14ac:dyDescent="0.2">
      <c r="A1422">
        <v>31871.1</v>
      </c>
      <c r="C1422">
        <v>28.451499999999999</v>
      </c>
      <c r="E1422">
        <v>654.35199999999998</v>
      </c>
      <c r="G1422">
        <f t="shared" si="49"/>
        <v>0.93537052797380171</v>
      </c>
    </row>
    <row r="1423" spans="1:7" x14ac:dyDescent="0.2">
      <c r="A1423">
        <v>39320.300000000003</v>
      </c>
      <c r="C1423">
        <v>62.839500000000001</v>
      </c>
      <c r="E1423">
        <v>792.06500000000005</v>
      </c>
      <c r="G1423">
        <f t="shared" si="49"/>
        <v>0.78759812563351728</v>
      </c>
    </row>
    <row r="1424" spans="1:7" x14ac:dyDescent="0.2">
      <c r="A1424">
        <v>42205.4</v>
      </c>
      <c r="C1424">
        <v>57.572200000000002</v>
      </c>
      <c r="E1424">
        <v>945.75300000000004</v>
      </c>
      <c r="G1424">
        <f t="shared" si="49"/>
        <v>0.59295544663356525</v>
      </c>
    </row>
    <row r="1425" spans="1:7" x14ac:dyDescent="0.2">
      <c r="A1425">
        <v>45643.5</v>
      </c>
      <c r="C1425">
        <v>41.793199999999999</v>
      </c>
      <c r="E1425">
        <v>793.54100000000005</v>
      </c>
      <c r="G1425">
        <f t="shared" si="49"/>
        <v>0.91085594155300431</v>
      </c>
    </row>
    <row r="1426" spans="1:7" x14ac:dyDescent="0.2">
      <c r="A1426">
        <v>28882.5</v>
      </c>
      <c r="C1426">
        <v>27.412099999999999</v>
      </c>
      <c r="E1426">
        <v>611.24800000000005</v>
      </c>
      <c r="G1426">
        <f t="shared" si="49"/>
        <v>0.97142522577149792</v>
      </c>
    </row>
    <row r="1427" spans="1:7" x14ac:dyDescent="0.2">
      <c r="A1427">
        <v>34500.9</v>
      </c>
      <c r="C1427">
        <v>34.971400000000003</v>
      </c>
      <c r="E1427">
        <v>692.28599999999994</v>
      </c>
      <c r="G1427">
        <f t="shared" si="49"/>
        <v>0.90462549543742488</v>
      </c>
    </row>
    <row r="1428" spans="1:7" x14ac:dyDescent="0.2">
      <c r="A1428">
        <v>33557.699999999997</v>
      </c>
      <c r="C1428">
        <v>33.337499999999999</v>
      </c>
      <c r="E1428">
        <v>671.21199999999999</v>
      </c>
      <c r="G1428">
        <f t="shared" si="49"/>
        <v>0.93601381755247959</v>
      </c>
    </row>
    <row r="1429" spans="1:7" x14ac:dyDescent="0.2">
      <c r="A1429">
        <v>40206.5</v>
      </c>
      <c r="C1429">
        <v>32.131799999999998</v>
      </c>
      <c r="E1429">
        <v>766.66600000000005</v>
      </c>
      <c r="G1429">
        <f t="shared" si="49"/>
        <v>0.85959396754651463</v>
      </c>
    </row>
    <row r="1430" spans="1:7" x14ac:dyDescent="0.2">
      <c r="A1430">
        <v>37173.800000000003</v>
      </c>
      <c r="C1430">
        <v>22.874400000000001</v>
      </c>
      <c r="E1430">
        <v>692.94799999999998</v>
      </c>
      <c r="G1430">
        <f t="shared" si="49"/>
        <v>0.97284838878684732</v>
      </c>
    </row>
    <row r="1431" spans="1:7" x14ac:dyDescent="0.2">
      <c r="A1431">
        <v>6273.08</v>
      </c>
      <c r="C1431">
        <v>109.88200000000001</v>
      </c>
      <c r="E1431">
        <v>1316.62</v>
      </c>
      <c r="G1431">
        <f t="shared" si="49"/>
        <v>4.5474656521583695E-2</v>
      </c>
    </row>
    <row r="1432" spans="1:7" x14ac:dyDescent="0.2">
      <c r="A1432">
        <v>37831.9</v>
      </c>
      <c r="C1432">
        <v>103.741</v>
      </c>
      <c r="E1432">
        <v>1113.3399999999999</v>
      </c>
      <c r="G1432">
        <f t="shared" si="49"/>
        <v>0.3835412019701317</v>
      </c>
    </row>
    <row r="1433" spans="1:7" x14ac:dyDescent="0.2">
      <c r="A1433">
        <v>30684.1</v>
      </c>
      <c r="C1433">
        <v>36.0702</v>
      </c>
      <c r="E1433">
        <v>651.27499999999998</v>
      </c>
      <c r="G1433">
        <f t="shared" si="49"/>
        <v>0.90906318780206719</v>
      </c>
    </row>
    <row r="1434" spans="1:7" x14ac:dyDescent="0.2">
      <c r="A1434">
        <v>41575.1</v>
      </c>
      <c r="C1434">
        <v>33.484499999999997</v>
      </c>
      <c r="E1434">
        <v>746.072</v>
      </c>
      <c r="G1434">
        <f t="shared" si="49"/>
        <v>0.93860165821963137</v>
      </c>
    </row>
    <row r="1435" spans="1:7" x14ac:dyDescent="0.2">
      <c r="A1435">
        <v>42884.2</v>
      </c>
      <c r="C1435">
        <v>36.5563</v>
      </c>
      <c r="E1435">
        <v>758.18600000000004</v>
      </c>
      <c r="G1435">
        <f t="shared" si="49"/>
        <v>0.9374654874150915</v>
      </c>
    </row>
    <row r="1436" spans="1:7" x14ac:dyDescent="0.2">
      <c r="A1436">
        <v>49213.4</v>
      </c>
      <c r="C1436">
        <v>90.915199999999999</v>
      </c>
      <c r="E1436">
        <v>944.83</v>
      </c>
      <c r="G1436">
        <f t="shared" si="49"/>
        <v>0.69276433065429288</v>
      </c>
    </row>
    <row r="1437" spans="1:7" x14ac:dyDescent="0.2">
      <c r="A1437">
        <v>30684.9</v>
      </c>
      <c r="C1437">
        <v>34.748800000000003</v>
      </c>
      <c r="E1437">
        <v>641.90800000000002</v>
      </c>
      <c r="G1437">
        <f t="shared" si="49"/>
        <v>0.93581204969161003</v>
      </c>
    </row>
    <row r="1438" spans="1:7" x14ac:dyDescent="0.2">
      <c r="A1438">
        <v>28317.7</v>
      </c>
      <c r="C1438">
        <v>29.4834</v>
      </c>
      <c r="E1438">
        <v>634.93499999999995</v>
      </c>
      <c r="G1438">
        <f t="shared" si="49"/>
        <v>0.88269148744476922</v>
      </c>
    </row>
    <row r="1439" spans="1:7" x14ac:dyDescent="0.2">
      <c r="A1439">
        <v>34247.5</v>
      </c>
      <c r="C1439">
        <v>30.729199999999999</v>
      </c>
      <c r="E1439">
        <v>670.69</v>
      </c>
      <c r="G1439">
        <f t="shared" si="49"/>
        <v>0.95674171353738791</v>
      </c>
    </row>
    <row r="1440" spans="1:7" x14ac:dyDescent="0.2">
      <c r="A1440">
        <v>42989.4</v>
      </c>
      <c r="C1440">
        <v>37.088999999999999</v>
      </c>
      <c r="E1440">
        <v>761.77200000000005</v>
      </c>
      <c r="G1440">
        <f t="shared" si="49"/>
        <v>0.93093823954450139</v>
      </c>
    </row>
    <row r="1441" spans="1:7" x14ac:dyDescent="0.2">
      <c r="A1441">
        <v>35643.699999999997</v>
      </c>
      <c r="C1441">
        <v>29.0121</v>
      </c>
      <c r="E1441">
        <v>683.17399999999998</v>
      </c>
      <c r="G1441">
        <f t="shared" si="49"/>
        <v>0.95968701218830665</v>
      </c>
    </row>
    <row r="1442" spans="1:7" x14ac:dyDescent="0.2">
      <c r="A1442">
        <v>34558.5</v>
      </c>
      <c r="C1442">
        <v>31.791799999999999</v>
      </c>
      <c r="E1442">
        <v>668.64599999999996</v>
      </c>
      <c r="G1442">
        <f t="shared" si="49"/>
        <v>0.9713413548338361</v>
      </c>
    </row>
    <row r="1443" spans="1:7" x14ac:dyDescent="0.2">
      <c r="A1443">
        <v>157.93799999999999</v>
      </c>
      <c r="C1443">
        <v>8.8857300000000006</v>
      </c>
      <c r="E1443">
        <v>45.126800000000003</v>
      </c>
      <c r="G1443">
        <f t="shared" si="49"/>
        <v>0.97460145383346808</v>
      </c>
    </row>
    <row r="1444" spans="1:7" x14ac:dyDescent="0.2">
      <c r="A1444">
        <v>35615.199999999997</v>
      </c>
      <c r="C1444">
        <v>25.758299999999998</v>
      </c>
      <c r="E1444">
        <v>701.697</v>
      </c>
      <c r="G1444">
        <f t="shared" si="49"/>
        <v>0.90896182760311972</v>
      </c>
    </row>
    <row r="1445" spans="1:7" x14ac:dyDescent="0.2">
      <c r="A1445">
        <v>30133.5</v>
      </c>
      <c r="C1445">
        <v>27.595600000000001</v>
      </c>
      <c r="E1445">
        <v>621.98599999999999</v>
      </c>
      <c r="G1445">
        <f t="shared" si="49"/>
        <v>0.97880877938052524</v>
      </c>
    </row>
    <row r="1446" spans="1:7" x14ac:dyDescent="0.2">
      <c r="A1446">
        <v>27867.5</v>
      </c>
      <c r="C1446">
        <v>31.444099999999999</v>
      </c>
      <c r="E1446">
        <v>609.62400000000002</v>
      </c>
      <c r="G1446">
        <f t="shared" si="49"/>
        <v>0.94228742319252901</v>
      </c>
    </row>
    <row r="1447" spans="1:7" x14ac:dyDescent="0.2">
      <c r="A1447">
        <v>39160.5</v>
      </c>
      <c r="C1447">
        <v>31.7895</v>
      </c>
      <c r="E1447">
        <v>729.86900000000003</v>
      </c>
      <c r="G1447">
        <f t="shared" si="49"/>
        <v>0.92377858288383952</v>
      </c>
    </row>
    <row r="1448" spans="1:7" x14ac:dyDescent="0.2">
      <c r="A1448">
        <v>39886.699999999997</v>
      </c>
      <c r="C1448">
        <v>30.5261</v>
      </c>
      <c r="E1448">
        <v>732.62699999999995</v>
      </c>
      <c r="G1448">
        <f t="shared" si="49"/>
        <v>0.9338384764549521</v>
      </c>
    </row>
    <row r="1449" spans="1:7" x14ac:dyDescent="0.2">
      <c r="A1449">
        <v>45251.8</v>
      </c>
      <c r="C1449">
        <v>37.087200000000003</v>
      </c>
      <c r="E1449">
        <v>771.87800000000004</v>
      </c>
      <c r="G1449">
        <f t="shared" si="49"/>
        <v>0.95443867779503078</v>
      </c>
    </row>
    <row r="1450" spans="1:7" x14ac:dyDescent="0.2">
      <c r="A1450">
        <v>43651.4</v>
      </c>
      <c r="C1450">
        <v>27.691099999999999</v>
      </c>
      <c r="E1450">
        <v>755.60500000000002</v>
      </c>
      <c r="G1450">
        <f t="shared" si="49"/>
        <v>0.96076689030596896</v>
      </c>
    </row>
    <row r="1451" spans="1:7" x14ac:dyDescent="0.2">
      <c r="A1451">
        <v>28608.2</v>
      </c>
      <c r="C1451">
        <v>28.472000000000001</v>
      </c>
      <c r="E1451">
        <v>609.40499999999997</v>
      </c>
      <c r="G1451">
        <f t="shared" si="49"/>
        <v>0.96802818894968823</v>
      </c>
    </row>
    <row r="1452" spans="1:7" x14ac:dyDescent="0.2">
      <c r="A1452">
        <v>40804.400000000001</v>
      </c>
      <c r="C1452">
        <v>34.911000000000001</v>
      </c>
      <c r="E1452">
        <v>739.2</v>
      </c>
      <c r="G1452">
        <f t="shared" si="49"/>
        <v>0.93840989173389744</v>
      </c>
    </row>
    <row r="1453" spans="1:7" x14ac:dyDescent="0.2">
      <c r="A1453">
        <v>49589.8</v>
      </c>
      <c r="C1453">
        <v>86.413300000000007</v>
      </c>
      <c r="E1453">
        <v>945.42200000000003</v>
      </c>
      <c r="G1453">
        <f t="shared" si="49"/>
        <v>0.69718887049129719</v>
      </c>
    </row>
    <row r="1454" spans="1:7" x14ac:dyDescent="0.2">
      <c r="A1454">
        <v>37364.1</v>
      </c>
      <c r="C1454">
        <v>28.197700000000001</v>
      </c>
      <c r="E1454">
        <v>710.625</v>
      </c>
      <c r="G1454">
        <f t="shared" si="49"/>
        <v>0.92978612040554798</v>
      </c>
    </row>
    <row r="1455" spans="1:7" x14ac:dyDescent="0.2">
      <c r="A1455">
        <v>28693</v>
      </c>
      <c r="C1455">
        <v>25.8645</v>
      </c>
      <c r="E1455">
        <v>613.62</v>
      </c>
      <c r="G1455">
        <f t="shared" si="49"/>
        <v>0.95760508344376094</v>
      </c>
    </row>
    <row r="1456" spans="1:7" x14ac:dyDescent="0.2">
      <c r="A1456">
        <v>34005.9</v>
      </c>
      <c r="C1456">
        <v>49.672499999999999</v>
      </c>
      <c r="E1456">
        <v>817.01</v>
      </c>
      <c r="G1456">
        <f t="shared" si="49"/>
        <v>0.64019020650828196</v>
      </c>
    </row>
    <row r="1457" spans="1:7" x14ac:dyDescent="0.2">
      <c r="A1457">
        <v>29222</v>
      </c>
      <c r="C1457">
        <v>29.833100000000002</v>
      </c>
      <c r="E1457">
        <v>616.73800000000006</v>
      </c>
      <c r="G1457">
        <f t="shared" si="49"/>
        <v>0.96542383651532404</v>
      </c>
    </row>
    <row r="1458" spans="1:7" x14ac:dyDescent="0.2">
      <c r="A1458">
        <v>28382.5</v>
      </c>
      <c r="C1458">
        <v>33.522300000000001</v>
      </c>
      <c r="E1458">
        <v>639.78399999999999</v>
      </c>
      <c r="G1458">
        <f t="shared" si="49"/>
        <v>0.87135152176504149</v>
      </c>
    </row>
    <row r="1459" spans="1:7" x14ac:dyDescent="0.2">
      <c r="A1459">
        <v>38990</v>
      </c>
      <c r="C1459">
        <v>32.970999999999997</v>
      </c>
      <c r="E1459">
        <v>714.83</v>
      </c>
      <c r="G1459">
        <f t="shared" si="49"/>
        <v>0.958864391652266</v>
      </c>
    </row>
    <row r="1460" spans="1:7" x14ac:dyDescent="0.2">
      <c r="A1460">
        <v>30882.2</v>
      </c>
      <c r="C1460">
        <v>41.715899999999998</v>
      </c>
      <c r="E1460">
        <v>654.41800000000001</v>
      </c>
      <c r="G1460">
        <f t="shared" si="49"/>
        <v>0.90616494173314477</v>
      </c>
    </row>
    <row r="1461" spans="1:7" x14ac:dyDescent="0.2">
      <c r="A1461">
        <v>32263.3</v>
      </c>
      <c r="C1461">
        <v>36.281500000000001</v>
      </c>
      <c r="E1461">
        <v>698.65499999999997</v>
      </c>
      <c r="G1461">
        <f t="shared" si="49"/>
        <v>0.83060155661249058</v>
      </c>
    </row>
    <row r="1462" spans="1:7" x14ac:dyDescent="0.2">
      <c r="A1462">
        <v>23705.9</v>
      </c>
      <c r="C1462">
        <v>24.4041</v>
      </c>
      <c r="E1462">
        <v>559.79399999999998</v>
      </c>
      <c r="G1462">
        <f t="shared" si="49"/>
        <v>0.95062551499386172</v>
      </c>
    </row>
    <row r="1463" spans="1:7" x14ac:dyDescent="0.2">
      <c r="A1463">
        <v>4681.1400000000003</v>
      </c>
      <c r="C1463">
        <v>69.336699999999993</v>
      </c>
      <c r="E1463">
        <v>1110.32</v>
      </c>
      <c r="G1463">
        <f t="shared" si="49"/>
        <v>4.7716084780168082E-2</v>
      </c>
    </row>
    <row r="1464" spans="1:7" x14ac:dyDescent="0.2">
      <c r="A1464">
        <v>29160.2</v>
      </c>
      <c r="C1464">
        <v>31.355799999999999</v>
      </c>
      <c r="E1464">
        <v>669.13499999999999</v>
      </c>
      <c r="G1464">
        <f t="shared" si="49"/>
        <v>0.81841296722045631</v>
      </c>
    </row>
    <row r="1465" spans="1:7" x14ac:dyDescent="0.2">
      <c r="A1465">
        <v>46277.3</v>
      </c>
      <c r="C1465">
        <v>32.875500000000002</v>
      </c>
      <c r="E1465">
        <v>811.55600000000004</v>
      </c>
      <c r="G1465">
        <f t="shared" si="49"/>
        <v>0.88295897199263085</v>
      </c>
    </row>
    <row r="1466" spans="1:7" x14ac:dyDescent="0.2">
      <c r="A1466">
        <v>39920.1</v>
      </c>
      <c r="C1466">
        <v>32.938699999999997</v>
      </c>
      <c r="E1466">
        <v>723.245</v>
      </c>
      <c r="G1466">
        <f t="shared" si="49"/>
        <v>0.95902568298635005</v>
      </c>
    </row>
    <row r="1467" spans="1:7" x14ac:dyDescent="0.2">
      <c r="A1467">
        <v>36724.5</v>
      </c>
      <c r="C1467">
        <v>30.6236</v>
      </c>
      <c r="E1467">
        <v>708.13400000000001</v>
      </c>
      <c r="G1467">
        <f t="shared" si="49"/>
        <v>0.92031075012753349</v>
      </c>
    </row>
    <row r="1468" spans="1:7" x14ac:dyDescent="0.2">
      <c r="A1468">
        <v>33246.699999999997</v>
      </c>
      <c r="C1468">
        <v>34.770499999999998</v>
      </c>
      <c r="E1468">
        <v>705.86900000000003</v>
      </c>
      <c r="G1468">
        <f t="shared" si="49"/>
        <v>0.83851304491895107</v>
      </c>
    </row>
    <row r="1469" spans="1:7" x14ac:dyDescent="0.2">
      <c r="A1469">
        <v>35060.199999999997</v>
      </c>
      <c r="C1469">
        <v>32.649700000000003</v>
      </c>
      <c r="E1469">
        <v>687.30799999999999</v>
      </c>
      <c r="G1469">
        <f t="shared" si="49"/>
        <v>0.93265514091435842</v>
      </c>
    </row>
    <row r="1470" spans="1:7" x14ac:dyDescent="0.2">
      <c r="A1470">
        <v>38086.199999999997</v>
      </c>
      <c r="C1470">
        <v>28.721599999999999</v>
      </c>
      <c r="E1470">
        <v>716.65899999999999</v>
      </c>
      <c r="G1470">
        <f t="shared" si="49"/>
        <v>0.93186290164110686</v>
      </c>
    </row>
    <row r="1471" spans="1:7" x14ac:dyDescent="0.2">
      <c r="A1471">
        <v>19378.5</v>
      </c>
      <c r="C1471">
        <v>140.42400000000001</v>
      </c>
      <c r="E1471">
        <v>1310.3</v>
      </c>
      <c r="G1471">
        <f t="shared" si="49"/>
        <v>0.14183655437501974</v>
      </c>
    </row>
    <row r="1472" spans="1:7" x14ac:dyDescent="0.2">
      <c r="A1472">
        <v>29886.5</v>
      </c>
      <c r="C1472">
        <v>33.105899999999998</v>
      </c>
      <c r="E1472">
        <v>649.40300000000002</v>
      </c>
      <c r="G1472">
        <f t="shared" si="49"/>
        <v>0.8905452139223573</v>
      </c>
    </row>
    <row r="1473" spans="1:7" x14ac:dyDescent="0.2">
      <c r="A1473">
        <v>29902.9</v>
      </c>
      <c r="C1473">
        <v>34.580599999999997</v>
      </c>
      <c r="E1473">
        <v>642.12699999999995</v>
      </c>
      <c r="G1473">
        <f t="shared" si="49"/>
        <v>0.91134107097955519</v>
      </c>
    </row>
    <row r="1474" spans="1:7" x14ac:dyDescent="0.2">
      <c r="A1474">
        <v>27879.9</v>
      </c>
      <c r="C1474">
        <v>27.429300000000001</v>
      </c>
      <c r="E1474">
        <v>620.21100000000001</v>
      </c>
      <c r="G1474">
        <f t="shared" si="49"/>
        <v>0.9107973948595165</v>
      </c>
    </row>
    <row r="1475" spans="1:7" x14ac:dyDescent="0.2">
      <c r="A1475">
        <v>42553.1</v>
      </c>
      <c r="C1475">
        <v>30.312000000000001</v>
      </c>
      <c r="E1475">
        <v>770.44399999999996</v>
      </c>
      <c r="G1475">
        <f t="shared" ref="G1475:G1538" si="50" xml:space="preserve"> 3.14159*4*A1475/(E1475*E1475)</f>
        <v>0.90086257771532519</v>
      </c>
    </row>
    <row r="1476" spans="1:7" x14ac:dyDescent="0.2">
      <c r="A1476">
        <v>41470.699999999997</v>
      </c>
      <c r="C1476">
        <v>66.104500000000002</v>
      </c>
      <c r="E1476">
        <v>800.12</v>
      </c>
      <c r="G1476">
        <f t="shared" si="50"/>
        <v>0.81403037515302057</v>
      </c>
    </row>
    <row r="1477" spans="1:7" x14ac:dyDescent="0.2">
      <c r="A1477">
        <v>36575.1</v>
      </c>
      <c r="C1477">
        <v>42.630400000000002</v>
      </c>
      <c r="E1477">
        <v>713.529</v>
      </c>
      <c r="G1477">
        <f t="shared" si="50"/>
        <v>0.90275886461703458</v>
      </c>
    </row>
    <row r="1478" spans="1:7" x14ac:dyDescent="0.2">
      <c r="A1478">
        <v>29745.9</v>
      </c>
      <c r="C1478">
        <v>29.1616</v>
      </c>
      <c r="E1478">
        <v>629.94299999999998</v>
      </c>
      <c r="G1478">
        <f t="shared" si="50"/>
        <v>0.94196355930055276</v>
      </c>
    </row>
    <row r="1479" spans="1:7" x14ac:dyDescent="0.2">
      <c r="A1479">
        <v>42231.9</v>
      </c>
      <c r="C1479">
        <v>45.993499999999997</v>
      </c>
      <c r="E1479">
        <v>773.71799999999996</v>
      </c>
      <c r="G1479">
        <f t="shared" si="50"/>
        <v>0.88651220024646393</v>
      </c>
    </row>
    <row r="1480" spans="1:7" x14ac:dyDescent="0.2">
      <c r="A1480">
        <v>40905.1</v>
      </c>
      <c r="C1480">
        <v>58.690199999999997</v>
      </c>
      <c r="E1480">
        <v>790.97799999999995</v>
      </c>
      <c r="G1480">
        <f t="shared" si="50"/>
        <v>0.82159568031377861</v>
      </c>
    </row>
    <row r="1481" spans="1:7" x14ac:dyDescent="0.2">
      <c r="A1481">
        <v>41165.5</v>
      </c>
      <c r="C1481">
        <v>81.083799999999997</v>
      </c>
      <c r="E1481">
        <v>1165.74</v>
      </c>
      <c r="G1481">
        <f t="shared" si="50"/>
        <v>0.38066197333167667</v>
      </c>
    </row>
    <row r="1482" spans="1:7" x14ac:dyDescent="0.2">
      <c r="A1482">
        <v>35785.300000000003</v>
      </c>
      <c r="C1482">
        <v>32.6738</v>
      </c>
      <c r="E1482">
        <v>677.68100000000004</v>
      </c>
      <c r="G1482">
        <f t="shared" si="50"/>
        <v>0.97918226839345834</v>
      </c>
    </row>
    <row r="1483" spans="1:7" x14ac:dyDescent="0.2">
      <c r="A1483">
        <v>33283</v>
      </c>
      <c r="C1483">
        <v>32.1691</v>
      </c>
      <c r="E1483">
        <v>667.99199999999996</v>
      </c>
      <c r="G1483">
        <f t="shared" si="50"/>
        <v>0.9373233576232064</v>
      </c>
    </row>
    <row r="1484" spans="1:7" x14ac:dyDescent="0.2">
      <c r="A1484">
        <v>41531.5</v>
      </c>
      <c r="C1484">
        <v>45.395000000000003</v>
      </c>
      <c r="E1484">
        <v>756.95600000000002</v>
      </c>
      <c r="G1484">
        <f t="shared" si="50"/>
        <v>0.91084786051048738</v>
      </c>
    </row>
    <row r="1485" spans="1:7" x14ac:dyDescent="0.2">
      <c r="A1485">
        <v>30398.400000000001</v>
      </c>
      <c r="C1485">
        <v>32.229199999999999</v>
      </c>
      <c r="E1485">
        <v>628.45699999999999</v>
      </c>
      <c r="G1485">
        <f t="shared" si="50"/>
        <v>0.96718396276583396</v>
      </c>
    </row>
    <row r="1486" spans="1:7" x14ac:dyDescent="0.2">
      <c r="A1486">
        <v>36344.1</v>
      </c>
      <c r="C1486">
        <v>50.062100000000001</v>
      </c>
      <c r="E1486">
        <v>711.57399999999996</v>
      </c>
      <c r="G1486">
        <f t="shared" si="50"/>
        <v>0.90199322118752345</v>
      </c>
    </row>
    <row r="1487" spans="1:7" x14ac:dyDescent="0.2">
      <c r="A1487">
        <v>35223.800000000003</v>
      </c>
      <c r="C1487">
        <v>27.785299999999999</v>
      </c>
      <c r="E1487">
        <v>700.36199999999997</v>
      </c>
      <c r="G1487">
        <f t="shared" si="50"/>
        <v>0.90240305152445299</v>
      </c>
    </row>
    <row r="1488" spans="1:7" x14ac:dyDescent="0.2">
      <c r="A1488">
        <v>36574.1</v>
      </c>
      <c r="C1488">
        <v>29.115300000000001</v>
      </c>
      <c r="E1488">
        <v>707.28800000000001</v>
      </c>
      <c r="G1488">
        <f t="shared" si="50"/>
        <v>0.91873564320212353</v>
      </c>
    </row>
    <row r="1489" spans="1:7" x14ac:dyDescent="0.2">
      <c r="A1489">
        <v>43845.1</v>
      </c>
      <c r="C1489">
        <v>27.1005</v>
      </c>
      <c r="E1489">
        <v>761.78499999999997</v>
      </c>
      <c r="G1489">
        <f t="shared" si="50"/>
        <v>0.94943607300169708</v>
      </c>
    </row>
    <row r="1490" spans="1:7" x14ac:dyDescent="0.2">
      <c r="A1490">
        <v>31943.9</v>
      </c>
      <c r="C1490">
        <v>40.382899999999999</v>
      </c>
      <c r="E1490">
        <v>668.34</v>
      </c>
      <c r="G1490">
        <f t="shared" si="50"/>
        <v>0.89867472236212365</v>
      </c>
    </row>
    <row r="1491" spans="1:7" x14ac:dyDescent="0.2">
      <c r="A1491">
        <v>41263.800000000003</v>
      </c>
      <c r="C1491">
        <v>50.714100000000002</v>
      </c>
      <c r="E1491">
        <v>754.66200000000003</v>
      </c>
      <c r="G1491">
        <f t="shared" si="50"/>
        <v>0.91048700690128448</v>
      </c>
    </row>
    <row r="1492" spans="1:7" x14ac:dyDescent="0.2">
      <c r="A1492">
        <v>36257.4</v>
      </c>
      <c r="C1492">
        <v>44.246000000000002</v>
      </c>
      <c r="E1492">
        <v>699.89</v>
      </c>
      <c r="G1492">
        <f t="shared" si="50"/>
        <v>0.93013626692746532</v>
      </c>
    </row>
    <row r="1493" spans="1:7" x14ac:dyDescent="0.2">
      <c r="A1493">
        <v>30343.9</v>
      </c>
      <c r="C1493">
        <v>35.329900000000002</v>
      </c>
      <c r="E1493">
        <v>630.471</v>
      </c>
      <c r="G1493">
        <f t="shared" si="50"/>
        <v>0.95929165323570453</v>
      </c>
    </row>
    <row r="1494" spans="1:7" x14ac:dyDescent="0.2">
      <c r="A1494">
        <v>3743.77</v>
      </c>
      <c r="C1494">
        <v>112.764</v>
      </c>
      <c r="E1494">
        <v>1101.75</v>
      </c>
      <c r="G1494">
        <f t="shared" si="50"/>
        <v>3.875721290376527E-2</v>
      </c>
    </row>
    <row r="1495" spans="1:7" x14ac:dyDescent="0.2">
      <c r="A1495">
        <v>31070.799999999999</v>
      </c>
      <c r="C1495">
        <v>29.5715</v>
      </c>
      <c r="E1495">
        <v>639.53499999999997</v>
      </c>
      <c r="G1495">
        <f t="shared" si="50"/>
        <v>0.95462608720967168</v>
      </c>
    </row>
    <row r="1496" spans="1:7" x14ac:dyDescent="0.2">
      <c r="A1496">
        <v>29567.599999999999</v>
      </c>
      <c r="C1496">
        <v>51.2226</v>
      </c>
      <c r="E1496">
        <v>723.88300000000004</v>
      </c>
      <c r="G1496">
        <f t="shared" si="50"/>
        <v>0.70906951854167399</v>
      </c>
    </row>
    <row r="1497" spans="1:7" x14ac:dyDescent="0.2">
      <c r="A1497">
        <v>26508.799999999999</v>
      </c>
      <c r="C1497">
        <v>21.054200000000002</v>
      </c>
      <c r="E1497">
        <v>582.39700000000005</v>
      </c>
      <c r="G1497">
        <f t="shared" si="50"/>
        <v>0.98211265532787229</v>
      </c>
    </row>
    <row r="1498" spans="1:7" x14ac:dyDescent="0.2">
      <c r="A1498">
        <v>40731.5</v>
      </c>
      <c r="C1498">
        <v>31.5533</v>
      </c>
      <c r="E1498">
        <v>755.625</v>
      </c>
      <c r="G1498">
        <f t="shared" si="50"/>
        <v>0.89645246287692049</v>
      </c>
    </row>
    <row r="1499" spans="1:7" x14ac:dyDescent="0.2">
      <c r="A1499">
        <v>43415</v>
      </c>
      <c r="C1499">
        <v>27.884499999999999</v>
      </c>
      <c r="E1499">
        <v>758.08500000000004</v>
      </c>
      <c r="G1499">
        <f t="shared" si="50"/>
        <v>0.94932189089864327</v>
      </c>
    </row>
    <row r="1500" spans="1:7" x14ac:dyDescent="0.2">
      <c r="A1500">
        <v>32205.200000000001</v>
      </c>
      <c r="C1500">
        <v>34.530999999999999</v>
      </c>
      <c r="E1500">
        <v>671.20100000000002</v>
      </c>
      <c r="G1500">
        <f t="shared" si="50"/>
        <v>0.89831842628746295</v>
      </c>
    </row>
    <row r="1501" spans="1:7" x14ac:dyDescent="0.2">
      <c r="A1501">
        <v>34018.199999999997</v>
      </c>
      <c r="C1501">
        <v>40.183999999999997</v>
      </c>
      <c r="E1501">
        <v>698.17200000000003</v>
      </c>
      <c r="G1501">
        <f t="shared" si="50"/>
        <v>0.87699268753716786</v>
      </c>
    </row>
    <row r="1502" spans="1:7" x14ac:dyDescent="0.2">
      <c r="A1502">
        <v>35971.9</v>
      </c>
      <c r="C1502">
        <v>41.450400000000002</v>
      </c>
      <c r="E1502">
        <v>700.24099999999999</v>
      </c>
      <c r="G1502">
        <f t="shared" si="50"/>
        <v>0.9218872387459478</v>
      </c>
    </row>
    <row r="1503" spans="1:7" x14ac:dyDescent="0.2">
      <c r="A1503">
        <v>28785.4</v>
      </c>
      <c r="C1503">
        <v>28.8872</v>
      </c>
      <c r="E1503">
        <v>635.41800000000001</v>
      </c>
      <c r="G1503">
        <f t="shared" si="50"/>
        <v>0.89590660704618374</v>
      </c>
    </row>
    <row r="1504" spans="1:7" x14ac:dyDescent="0.2">
      <c r="A1504">
        <v>36599.9</v>
      </c>
      <c r="C1504">
        <v>52.580399999999997</v>
      </c>
      <c r="E1504">
        <v>754.37900000000002</v>
      </c>
      <c r="G1504">
        <f t="shared" si="50"/>
        <v>0.80818393904938124</v>
      </c>
    </row>
    <row r="1505" spans="1:7" x14ac:dyDescent="0.2">
      <c r="A1505">
        <v>29554.799999999999</v>
      </c>
      <c r="C1505">
        <v>47.417900000000003</v>
      </c>
      <c r="E1505">
        <v>656.69799999999998</v>
      </c>
      <c r="G1505">
        <f t="shared" si="50"/>
        <v>0.86120419118198199</v>
      </c>
    </row>
    <row r="1506" spans="1:7" x14ac:dyDescent="0.2">
      <c r="A1506">
        <v>30218.2</v>
      </c>
      <c r="C1506">
        <v>35.4557</v>
      </c>
      <c r="E1506">
        <v>636.22199999999998</v>
      </c>
      <c r="G1506">
        <f t="shared" si="50"/>
        <v>0.93812502971365697</v>
      </c>
    </row>
    <row r="1507" spans="1:7" x14ac:dyDescent="0.2">
      <c r="A1507">
        <v>35292.699999999997</v>
      </c>
      <c r="C1507">
        <v>37.8504</v>
      </c>
      <c r="E1507">
        <v>717.82899999999995</v>
      </c>
      <c r="G1507">
        <f t="shared" si="50"/>
        <v>0.86070114822082044</v>
      </c>
    </row>
    <row r="1508" spans="1:7" x14ac:dyDescent="0.2">
      <c r="A1508">
        <v>32043.7</v>
      </c>
      <c r="C1508">
        <v>59.058900000000001</v>
      </c>
      <c r="E1508">
        <v>858.58900000000006</v>
      </c>
      <c r="G1508">
        <f t="shared" si="50"/>
        <v>0.54623750288912398</v>
      </c>
    </row>
    <row r="1509" spans="1:7" x14ac:dyDescent="0.2">
      <c r="A1509">
        <v>35345.199999999997</v>
      </c>
      <c r="C1509">
        <v>51.7971</v>
      </c>
      <c r="E1509">
        <v>852.10299999999995</v>
      </c>
      <c r="G1509">
        <f t="shared" si="50"/>
        <v>0.61172432721420278</v>
      </c>
    </row>
    <row r="1510" spans="1:7" x14ac:dyDescent="0.2">
      <c r="A1510">
        <v>24820.400000000001</v>
      </c>
      <c r="C1510">
        <v>31.2514</v>
      </c>
      <c r="E1510">
        <v>594.12900000000002</v>
      </c>
      <c r="G1510">
        <f t="shared" si="50"/>
        <v>0.88360216429472582</v>
      </c>
    </row>
    <row r="1511" spans="1:7" x14ac:dyDescent="0.2">
      <c r="A1511">
        <v>25478.9</v>
      </c>
      <c r="C1511">
        <v>36.737200000000001</v>
      </c>
      <c r="E1511">
        <v>590.34900000000005</v>
      </c>
      <c r="G1511">
        <f t="shared" si="50"/>
        <v>0.91869744304721912</v>
      </c>
    </row>
    <row r="1512" spans="1:7" x14ac:dyDescent="0.2">
      <c r="A1512">
        <v>38622.400000000001</v>
      </c>
      <c r="C1512">
        <v>45.465699999999998</v>
      </c>
      <c r="E1512">
        <v>993.79300000000001</v>
      </c>
      <c r="G1512">
        <f t="shared" si="50"/>
        <v>0.49142459433695806</v>
      </c>
    </row>
    <row r="1513" spans="1:7" x14ac:dyDescent="0.2">
      <c r="A1513">
        <v>34208.300000000003</v>
      </c>
      <c r="C1513">
        <v>27.558900000000001</v>
      </c>
      <c r="E1513">
        <v>668.38599999999997</v>
      </c>
      <c r="G1513">
        <f t="shared" si="50"/>
        <v>0.96224641164892977</v>
      </c>
    </row>
    <row r="1514" spans="1:7" x14ac:dyDescent="0.2">
      <c r="A1514">
        <v>29424.6</v>
      </c>
      <c r="C1514">
        <v>23.721800000000002</v>
      </c>
      <c r="E1514">
        <v>616.28</v>
      </c>
      <c r="G1514">
        <f t="shared" si="50"/>
        <v>0.97356267906401806</v>
      </c>
    </row>
    <row r="1515" spans="1:7" x14ac:dyDescent="0.2">
      <c r="A1515">
        <v>30084.9</v>
      </c>
      <c r="C1515">
        <v>36.734999999999999</v>
      </c>
      <c r="E1515">
        <v>657.22199999999998</v>
      </c>
      <c r="G1515">
        <f t="shared" si="50"/>
        <v>0.87525355639321623</v>
      </c>
    </row>
    <row r="1516" spans="1:7" x14ac:dyDescent="0.2">
      <c r="A1516">
        <v>25433.9</v>
      </c>
      <c r="C1516">
        <v>29.362100000000002</v>
      </c>
      <c r="E1516">
        <v>583.55899999999997</v>
      </c>
      <c r="G1516">
        <f t="shared" si="50"/>
        <v>0.93854027464326784</v>
      </c>
    </row>
    <row r="1517" spans="1:7" x14ac:dyDescent="0.2">
      <c r="A1517">
        <v>27669</v>
      </c>
      <c r="C1517">
        <v>41.516800000000003</v>
      </c>
      <c r="E1517">
        <v>643.96500000000003</v>
      </c>
      <c r="G1517">
        <f t="shared" si="50"/>
        <v>0.83845244022438614</v>
      </c>
    </row>
    <row r="1518" spans="1:7" x14ac:dyDescent="0.2">
      <c r="A1518">
        <v>45179.4</v>
      </c>
      <c r="C1518">
        <v>45.43</v>
      </c>
      <c r="E1518">
        <v>831.05700000000002</v>
      </c>
      <c r="G1518">
        <f t="shared" si="50"/>
        <v>0.82203125864907456</v>
      </c>
    </row>
    <row r="1519" spans="1:7" x14ac:dyDescent="0.2">
      <c r="A1519">
        <v>33881.800000000003</v>
      </c>
      <c r="C1519">
        <v>33.413899999999998</v>
      </c>
      <c r="E1519">
        <v>676.95500000000004</v>
      </c>
      <c r="G1519">
        <f t="shared" si="50"/>
        <v>0.92908697384611338</v>
      </c>
    </row>
    <row r="1520" spans="1:7" x14ac:dyDescent="0.2">
      <c r="A1520">
        <v>31051.9</v>
      </c>
      <c r="C1520">
        <v>41.963700000000003</v>
      </c>
      <c r="E1520">
        <v>655.32000000000005</v>
      </c>
      <c r="G1520">
        <f t="shared" si="50"/>
        <v>0.90863786503457855</v>
      </c>
    </row>
    <row r="1521" spans="1:7" x14ac:dyDescent="0.2">
      <c r="A1521">
        <v>27301.599999999999</v>
      </c>
      <c r="C1521">
        <v>34.219200000000001</v>
      </c>
      <c r="E1521">
        <v>677.18100000000004</v>
      </c>
      <c r="G1521">
        <f t="shared" si="50"/>
        <v>0.74814894499659901</v>
      </c>
    </row>
    <row r="1522" spans="1:7" x14ac:dyDescent="0.2">
      <c r="A1522">
        <v>34510</v>
      </c>
      <c r="C1522">
        <v>49.834899999999998</v>
      </c>
      <c r="E1522">
        <v>767.70699999999999</v>
      </c>
      <c r="G1522">
        <f t="shared" si="50"/>
        <v>0.73580622109300775</v>
      </c>
    </row>
    <row r="1523" spans="1:7" x14ac:dyDescent="0.2">
      <c r="A1523">
        <v>26312.9</v>
      </c>
      <c r="C1523">
        <v>41.158799999999999</v>
      </c>
      <c r="E1523">
        <v>616.66600000000005</v>
      </c>
      <c r="G1523">
        <f t="shared" si="50"/>
        <v>0.86951725370933497</v>
      </c>
    </row>
    <row r="1524" spans="1:7" x14ac:dyDescent="0.2">
      <c r="A1524">
        <v>40909.5</v>
      </c>
      <c r="C1524">
        <v>32.495100000000001</v>
      </c>
      <c r="E1524">
        <v>735.55799999999999</v>
      </c>
      <c r="G1524">
        <f t="shared" si="50"/>
        <v>0.9501667357224135</v>
      </c>
    </row>
    <row r="1525" spans="1:7" x14ac:dyDescent="0.2">
      <c r="A1525">
        <v>28980.5</v>
      </c>
      <c r="C1525">
        <v>52.387700000000002</v>
      </c>
      <c r="E1525">
        <v>720.68200000000002</v>
      </c>
      <c r="G1525">
        <f t="shared" si="50"/>
        <v>0.70117757979920936</v>
      </c>
    </row>
    <row r="1526" spans="1:7" x14ac:dyDescent="0.2">
      <c r="A1526">
        <v>28096.3</v>
      </c>
      <c r="C1526">
        <v>34.871400000000001</v>
      </c>
      <c r="E1526">
        <v>641.06100000000004</v>
      </c>
      <c r="G1526">
        <f t="shared" si="50"/>
        <v>0.85913203927033521</v>
      </c>
    </row>
    <row r="1527" spans="1:7" x14ac:dyDescent="0.2">
      <c r="A1527">
        <v>35859.599999999999</v>
      </c>
      <c r="C1527">
        <v>57.730800000000002</v>
      </c>
      <c r="E1527">
        <v>792.99400000000003</v>
      </c>
      <c r="G1527">
        <f t="shared" si="50"/>
        <v>0.71659724698553184</v>
      </c>
    </row>
    <row r="1528" spans="1:7" x14ac:dyDescent="0.2">
      <c r="A1528">
        <v>22077.200000000001</v>
      </c>
      <c r="C1528">
        <v>37.630600000000001</v>
      </c>
      <c r="E1528">
        <v>533.38599999999997</v>
      </c>
      <c r="G1528">
        <f t="shared" si="50"/>
        <v>0.97514739377426896</v>
      </c>
    </row>
    <row r="1529" spans="1:7" x14ac:dyDescent="0.2">
      <c r="A1529">
        <v>29573.5</v>
      </c>
      <c r="C1529">
        <v>35.720399999999998</v>
      </c>
      <c r="E1529">
        <v>620.62699999999995</v>
      </c>
      <c r="G1529">
        <f t="shared" si="50"/>
        <v>0.96483020803102293</v>
      </c>
    </row>
    <row r="1530" spans="1:7" x14ac:dyDescent="0.2">
      <c r="A1530">
        <v>30569.8</v>
      </c>
      <c r="C1530">
        <v>35.640700000000002</v>
      </c>
      <c r="E1530">
        <v>666.79300000000001</v>
      </c>
      <c r="G1530">
        <f t="shared" si="50"/>
        <v>0.86401251006977831</v>
      </c>
    </row>
    <row r="1531" spans="1:7" x14ac:dyDescent="0.2">
      <c r="A1531">
        <v>26375.200000000001</v>
      </c>
      <c r="C1531">
        <v>25.430099999999999</v>
      </c>
      <c r="E1531">
        <v>586.69200000000001</v>
      </c>
      <c r="G1531">
        <f t="shared" si="50"/>
        <v>0.96290829082524543</v>
      </c>
    </row>
    <row r="1532" spans="1:7" x14ac:dyDescent="0.2">
      <c r="A1532">
        <v>28500.799999999999</v>
      </c>
      <c r="C1532">
        <v>56.561</v>
      </c>
      <c r="E1532">
        <v>682.94100000000003</v>
      </c>
      <c r="G1532">
        <f t="shared" si="50"/>
        <v>0.76789205727773202</v>
      </c>
    </row>
    <row r="1533" spans="1:7" x14ac:dyDescent="0.2">
      <c r="A1533">
        <v>34674.6</v>
      </c>
      <c r="C1533">
        <v>54.420699999999997</v>
      </c>
      <c r="E1533">
        <v>852.21699999999998</v>
      </c>
      <c r="G1533">
        <f t="shared" si="50"/>
        <v>0.59995761571357742</v>
      </c>
    </row>
    <row r="1534" spans="1:7" x14ac:dyDescent="0.2">
      <c r="A1534">
        <v>24775.5</v>
      </c>
      <c r="C1534">
        <v>28.2255</v>
      </c>
      <c r="E1534">
        <v>594.47400000000005</v>
      </c>
      <c r="G1534">
        <f t="shared" si="50"/>
        <v>0.88098029585561322</v>
      </c>
    </row>
    <row r="1535" spans="1:7" x14ac:dyDescent="0.2">
      <c r="A1535">
        <v>25240.9</v>
      </c>
      <c r="C1535">
        <v>33.576599999999999</v>
      </c>
      <c r="E1535">
        <v>585.31299999999999</v>
      </c>
      <c r="G1535">
        <f t="shared" si="50"/>
        <v>0.92584437709289813</v>
      </c>
    </row>
    <row r="1536" spans="1:7" x14ac:dyDescent="0.2">
      <c r="A1536">
        <v>31393.200000000001</v>
      </c>
      <c r="C1536">
        <v>29.883299999999998</v>
      </c>
      <c r="E1536">
        <v>640.96199999999999</v>
      </c>
      <c r="G1536">
        <f t="shared" si="50"/>
        <v>0.9602416040055195</v>
      </c>
    </row>
    <row r="1537" spans="1:7" x14ac:dyDescent="0.2">
      <c r="A1537">
        <v>34518.5</v>
      </c>
      <c r="C1537">
        <v>31.895399999999999</v>
      </c>
      <c r="E1537">
        <v>673.42100000000005</v>
      </c>
      <c r="G1537">
        <f t="shared" si="50"/>
        <v>0.95650688782494908</v>
      </c>
    </row>
    <row r="1538" spans="1:7" x14ac:dyDescent="0.2">
      <c r="A1538">
        <v>26477.1</v>
      </c>
      <c r="C1538">
        <v>29.855699999999999</v>
      </c>
      <c r="E1538">
        <v>590.20799999999997</v>
      </c>
      <c r="G1538">
        <f t="shared" si="50"/>
        <v>0.9551459293756408</v>
      </c>
    </row>
    <row r="1539" spans="1:7" x14ac:dyDescent="0.2">
      <c r="A1539">
        <v>32795.699999999997</v>
      </c>
      <c r="C1539">
        <v>23.460899999999999</v>
      </c>
      <c r="E1539">
        <v>648.56600000000003</v>
      </c>
      <c r="G1539">
        <f t="shared" ref="G1539:G1602" si="51" xml:space="preserve"> 3.14159*4*A1539/(E1539*E1539)</f>
        <v>0.97975625927307564</v>
      </c>
    </row>
    <row r="1540" spans="1:7" x14ac:dyDescent="0.2">
      <c r="A1540">
        <v>33738.5</v>
      </c>
      <c r="C1540">
        <v>28.629300000000001</v>
      </c>
      <c r="E1540">
        <v>679.81799999999998</v>
      </c>
      <c r="G1540">
        <f t="shared" si="51"/>
        <v>0.917381437556404</v>
      </c>
    </row>
    <row r="1541" spans="1:7" x14ac:dyDescent="0.2">
      <c r="A1541">
        <v>3402.31</v>
      </c>
      <c r="C1541">
        <v>93.808899999999994</v>
      </c>
      <c r="E1541">
        <v>1168</v>
      </c>
      <c r="G1541">
        <f t="shared" si="51"/>
        <v>3.1339906270231276E-2</v>
      </c>
    </row>
    <row r="1542" spans="1:7" x14ac:dyDescent="0.2">
      <c r="A1542">
        <v>28429.9</v>
      </c>
      <c r="C1542">
        <v>28.448899999999998</v>
      </c>
      <c r="E1542">
        <v>612.29</v>
      </c>
      <c r="G1542">
        <f t="shared" si="51"/>
        <v>0.95295083779596146</v>
      </c>
    </row>
    <row r="1543" spans="1:7" x14ac:dyDescent="0.2">
      <c r="A1543">
        <v>30449.9</v>
      </c>
      <c r="C1543">
        <v>27.0303</v>
      </c>
      <c r="E1543">
        <v>637.97699999999998</v>
      </c>
      <c r="G1543">
        <f t="shared" si="51"/>
        <v>0.94012439843731777</v>
      </c>
    </row>
    <row r="1544" spans="1:7" x14ac:dyDescent="0.2">
      <c r="A1544">
        <v>34650.5</v>
      </c>
      <c r="C1544">
        <v>25.0261</v>
      </c>
      <c r="E1544">
        <v>668.57899999999995</v>
      </c>
      <c r="G1544">
        <f t="shared" si="51"/>
        <v>0.97412242295054952</v>
      </c>
    </row>
    <row r="1545" spans="1:7" x14ac:dyDescent="0.2">
      <c r="A1545">
        <v>34377.699999999997</v>
      </c>
      <c r="C1545">
        <v>27.326499999999999</v>
      </c>
      <c r="E1545">
        <v>676.779</v>
      </c>
      <c r="G1545">
        <f t="shared" si="51"/>
        <v>0.94317561908489489</v>
      </c>
    </row>
    <row r="1546" spans="1:7" x14ac:dyDescent="0.2">
      <c r="A1546">
        <v>29940.7</v>
      </c>
      <c r="C1546">
        <v>33.513599999999997</v>
      </c>
      <c r="E1546">
        <v>651.41600000000005</v>
      </c>
      <c r="G1546">
        <f t="shared" si="51"/>
        <v>0.88665487047046132</v>
      </c>
    </row>
    <row r="1547" spans="1:7" x14ac:dyDescent="0.2">
      <c r="A1547">
        <v>31243.3</v>
      </c>
      <c r="C1547">
        <v>27.879300000000001</v>
      </c>
      <c r="E1547">
        <v>642.41600000000005</v>
      </c>
      <c r="G1547">
        <f t="shared" si="51"/>
        <v>0.95133548929574419</v>
      </c>
    </row>
    <row r="1548" spans="1:7" x14ac:dyDescent="0.2">
      <c r="A1548">
        <v>33252.400000000001</v>
      </c>
      <c r="C1548">
        <v>27.336099999999998</v>
      </c>
      <c r="E1548">
        <v>656.50800000000004</v>
      </c>
      <c r="G1548">
        <f t="shared" si="51"/>
        <v>0.96951034610315112</v>
      </c>
    </row>
    <row r="1549" spans="1:7" x14ac:dyDescent="0.2">
      <c r="A1549">
        <v>29479.8</v>
      </c>
      <c r="C1549">
        <v>29.0169</v>
      </c>
      <c r="E1549">
        <v>637.39300000000003</v>
      </c>
      <c r="G1549">
        <f t="shared" si="51"/>
        <v>0.91184170295769384</v>
      </c>
    </row>
    <row r="1550" spans="1:7" x14ac:dyDescent="0.2">
      <c r="A1550">
        <v>34654</v>
      </c>
      <c r="C1550">
        <v>30.267900000000001</v>
      </c>
      <c r="E1550">
        <v>679.59400000000005</v>
      </c>
      <c r="G1550">
        <f t="shared" si="51"/>
        <v>0.94289600665187423</v>
      </c>
    </row>
    <row r="1551" spans="1:7" x14ac:dyDescent="0.2">
      <c r="A1551">
        <v>28503.5</v>
      </c>
      <c r="C1551">
        <v>29.416799999999999</v>
      </c>
      <c r="E1551">
        <v>616.95899999999995</v>
      </c>
      <c r="G1551">
        <f t="shared" si="51"/>
        <v>0.94101182390449356</v>
      </c>
    </row>
    <row r="1552" spans="1:7" x14ac:dyDescent="0.2">
      <c r="A1552">
        <v>26728.1</v>
      </c>
      <c r="C1552">
        <v>25.129899999999999</v>
      </c>
      <c r="E1552">
        <v>586.13599999999997</v>
      </c>
      <c r="G1552">
        <f t="shared" si="51"/>
        <v>0.97764411927347761</v>
      </c>
    </row>
    <row r="1553" spans="1:7" x14ac:dyDescent="0.2">
      <c r="A1553">
        <v>22471.8</v>
      </c>
      <c r="C1553">
        <v>34.929600000000001</v>
      </c>
      <c r="E1553">
        <v>540.69000000000005</v>
      </c>
      <c r="G1553">
        <f t="shared" si="51"/>
        <v>0.96594118447438859</v>
      </c>
    </row>
    <row r="1554" spans="1:7" x14ac:dyDescent="0.2">
      <c r="A1554">
        <v>35061.599999999999</v>
      </c>
      <c r="C1554">
        <v>29.982099999999999</v>
      </c>
      <c r="E1554">
        <v>677.13599999999997</v>
      </c>
      <c r="G1554">
        <f t="shared" si="51"/>
        <v>0.96092484101771825</v>
      </c>
    </row>
    <row r="1555" spans="1:7" x14ac:dyDescent="0.2">
      <c r="A1555">
        <v>27393.599999999999</v>
      </c>
      <c r="C1555">
        <v>28.818899999999999</v>
      </c>
      <c r="E1555">
        <v>642.12099999999998</v>
      </c>
      <c r="G1555">
        <f t="shared" si="51"/>
        <v>0.83488154360002198</v>
      </c>
    </row>
    <row r="1556" spans="1:7" x14ac:dyDescent="0.2">
      <c r="A1556">
        <v>41771.9</v>
      </c>
      <c r="C1556">
        <v>70.454099999999997</v>
      </c>
      <c r="E1556">
        <v>1025.83</v>
      </c>
      <c r="G1556">
        <f t="shared" si="51"/>
        <v>0.49881894036464153</v>
      </c>
    </row>
    <row r="1557" spans="1:7" x14ac:dyDescent="0.2">
      <c r="A1557">
        <v>31346.3</v>
      </c>
      <c r="C1557">
        <v>51.481999999999999</v>
      </c>
      <c r="E1557">
        <v>855.18399999999997</v>
      </c>
      <c r="G1557">
        <f t="shared" si="51"/>
        <v>0.5386127739947556</v>
      </c>
    </row>
    <row r="1558" spans="1:7" x14ac:dyDescent="0.2">
      <c r="A1558">
        <v>39996.800000000003</v>
      </c>
      <c r="C1558">
        <v>95.016499999999994</v>
      </c>
      <c r="E1558">
        <v>899.71799999999996</v>
      </c>
      <c r="G1558">
        <f t="shared" si="51"/>
        <v>0.62090037938777221</v>
      </c>
    </row>
    <row r="1559" spans="1:7" x14ac:dyDescent="0.2">
      <c r="A1559">
        <v>27578.2</v>
      </c>
      <c r="C1559">
        <v>39.8949</v>
      </c>
      <c r="E1559">
        <v>603.78399999999999</v>
      </c>
      <c r="G1559">
        <f t="shared" si="51"/>
        <v>0.95063152762646363</v>
      </c>
    </row>
    <row r="1560" spans="1:7" x14ac:dyDescent="0.2">
      <c r="A1560">
        <v>36601.1</v>
      </c>
      <c r="C1560">
        <v>35.067</v>
      </c>
      <c r="E1560">
        <v>712.59199999999998</v>
      </c>
      <c r="G1560">
        <f t="shared" si="51"/>
        <v>0.90577796262450272</v>
      </c>
    </row>
    <row r="1561" spans="1:7" x14ac:dyDescent="0.2">
      <c r="A1561">
        <v>31758.400000000001</v>
      </c>
      <c r="C1561">
        <v>36.873600000000003</v>
      </c>
      <c r="E1561">
        <v>669.80399999999997</v>
      </c>
      <c r="G1561">
        <f t="shared" si="51"/>
        <v>0.88955465779949383</v>
      </c>
    </row>
    <row r="1562" spans="1:7" x14ac:dyDescent="0.2">
      <c r="A1562">
        <v>44504.9</v>
      </c>
      <c r="C1562">
        <v>73.200999999999993</v>
      </c>
      <c r="E1562">
        <v>1271.28</v>
      </c>
      <c r="G1562">
        <f t="shared" si="51"/>
        <v>0.3460468477212062</v>
      </c>
    </row>
    <row r="1563" spans="1:7" x14ac:dyDescent="0.2">
      <c r="A1563">
        <v>27067.4</v>
      </c>
      <c r="C1563">
        <v>31.167100000000001</v>
      </c>
      <c r="E1563">
        <v>604.16800000000001</v>
      </c>
      <c r="G1563">
        <f t="shared" si="51"/>
        <v>0.93183839347196507</v>
      </c>
    </row>
    <row r="1564" spans="1:7" x14ac:dyDescent="0.2">
      <c r="A1564">
        <v>29620.2</v>
      </c>
      <c r="C1564">
        <v>35.08</v>
      </c>
      <c r="E1564">
        <v>634.95699999999999</v>
      </c>
      <c r="G1564">
        <f t="shared" si="51"/>
        <v>0.92322775679273439</v>
      </c>
    </row>
    <row r="1565" spans="1:7" x14ac:dyDescent="0.2">
      <c r="A1565">
        <v>43338.5</v>
      </c>
      <c r="C1565">
        <v>70.970299999999995</v>
      </c>
      <c r="E1565">
        <v>880.322</v>
      </c>
      <c r="G1565">
        <f t="shared" si="51"/>
        <v>0.70274904191520415</v>
      </c>
    </row>
    <row r="1566" spans="1:7" x14ac:dyDescent="0.2">
      <c r="A1566">
        <v>33435.1</v>
      </c>
      <c r="C1566">
        <v>32.2072</v>
      </c>
      <c r="E1566">
        <v>670.827</v>
      </c>
      <c r="G1566">
        <f t="shared" si="51"/>
        <v>0.93366494954706092</v>
      </c>
    </row>
    <row r="1567" spans="1:7" x14ac:dyDescent="0.2">
      <c r="A1567">
        <v>30141.200000000001</v>
      </c>
      <c r="C1567">
        <v>57.547400000000003</v>
      </c>
      <c r="E1567">
        <v>756.5</v>
      </c>
      <c r="G1567">
        <f t="shared" si="51"/>
        <v>0.66183871969609931</v>
      </c>
    </row>
    <row r="1568" spans="1:7" x14ac:dyDescent="0.2">
      <c r="A1568">
        <v>26562.7</v>
      </c>
      <c r="C1568">
        <v>35.479999999999997</v>
      </c>
      <c r="E1568">
        <v>610.58500000000004</v>
      </c>
      <c r="G1568">
        <f t="shared" si="51"/>
        <v>0.89534302082577621</v>
      </c>
    </row>
    <row r="1569" spans="1:7" x14ac:dyDescent="0.2">
      <c r="A1569">
        <v>47048.800000000003</v>
      </c>
      <c r="C1569">
        <v>33.903300000000002</v>
      </c>
      <c r="E1569">
        <v>804.86300000000006</v>
      </c>
      <c r="G1569">
        <f t="shared" si="51"/>
        <v>0.91267072878473987</v>
      </c>
    </row>
    <row r="1570" spans="1:7" x14ac:dyDescent="0.2">
      <c r="A1570">
        <v>33731.800000000003</v>
      </c>
      <c r="C1570">
        <v>35.2121</v>
      </c>
      <c r="E1570">
        <v>686.32600000000002</v>
      </c>
      <c r="G1570">
        <f t="shared" si="51"/>
        <v>0.89988727534904667</v>
      </c>
    </row>
    <row r="1571" spans="1:7" x14ac:dyDescent="0.2">
      <c r="A1571">
        <v>29701.200000000001</v>
      </c>
      <c r="C1571">
        <v>44.629600000000003</v>
      </c>
      <c r="E1571">
        <v>668.38599999999997</v>
      </c>
      <c r="G1571">
        <f t="shared" si="51"/>
        <v>0.8354660454236893</v>
      </c>
    </row>
    <row r="1572" spans="1:7" x14ac:dyDescent="0.2">
      <c r="A1572">
        <v>23524</v>
      </c>
      <c r="C1572">
        <v>36.265900000000002</v>
      </c>
      <c r="E1572">
        <v>605.27499999999998</v>
      </c>
      <c r="G1572">
        <f t="shared" si="51"/>
        <v>0.80689160149832406</v>
      </c>
    </row>
    <row r="1573" spans="1:7" x14ac:dyDescent="0.2">
      <c r="A1573">
        <v>28056.400000000001</v>
      </c>
      <c r="C1573">
        <v>40.3613</v>
      </c>
      <c r="E1573">
        <v>645.88400000000001</v>
      </c>
      <c r="G1573">
        <f t="shared" si="51"/>
        <v>0.8451472630867537</v>
      </c>
    </row>
    <row r="1574" spans="1:7" x14ac:dyDescent="0.2">
      <c r="A1574">
        <v>28108.799999999999</v>
      </c>
      <c r="C1574">
        <v>29.345300000000002</v>
      </c>
      <c r="E1574">
        <v>602.80700000000002</v>
      </c>
      <c r="G1574">
        <f t="shared" si="51"/>
        <v>0.97206482684566164</v>
      </c>
    </row>
    <row r="1575" spans="1:7" x14ac:dyDescent="0.2">
      <c r="A1575">
        <v>44513.599999999999</v>
      </c>
      <c r="C1575">
        <v>42.451900000000002</v>
      </c>
      <c r="E1575">
        <v>777.803</v>
      </c>
      <c r="G1575">
        <f t="shared" si="51"/>
        <v>0.92461937212585033</v>
      </c>
    </row>
    <row r="1576" spans="1:7" x14ac:dyDescent="0.2">
      <c r="A1576">
        <v>25238.799999999999</v>
      </c>
      <c r="C1576">
        <v>40.189</v>
      </c>
      <c r="E1576">
        <v>603.55700000000002</v>
      </c>
      <c r="G1576">
        <f t="shared" si="51"/>
        <v>0.87064601578895495</v>
      </c>
    </row>
    <row r="1577" spans="1:7" x14ac:dyDescent="0.2">
      <c r="A1577">
        <v>35709.5</v>
      </c>
      <c r="C1577">
        <v>20.023099999999999</v>
      </c>
      <c r="E1577">
        <v>677.18600000000004</v>
      </c>
      <c r="G1577">
        <f t="shared" si="51"/>
        <v>0.97853716403062008</v>
      </c>
    </row>
    <row r="1578" spans="1:7" x14ac:dyDescent="0.2">
      <c r="A1578">
        <v>49696.6</v>
      </c>
      <c r="C1578">
        <v>37.64</v>
      </c>
      <c r="E1578">
        <v>820.82100000000003</v>
      </c>
      <c r="G1578">
        <f t="shared" si="51"/>
        <v>0.9269136050622051</v>
      </c>
    </row>
    <row r="1579" spans="1:7" x14ac:dyDescent="0.2">
      <c r="A1579">
        <v>36712.800000000003</v>
      </c>
      <c r="C1579">
        <v>56.7166</v>
      </c>
      <c r="E1579">
        <v>978.53</v>
      </c>
      <c r="G1579">
        <f t="shared" si="51"/>
        <v>0.48181322419758638</v>
      </c>
    </row>
    <row r="1580" spans="1:7" x14ac:dyDescent="0.2">
      <c r="A1580">
        <v>37504.199999999997</v>
      </c>
      <c r="C1580">
        <v>30.650099999999998</v>
      </c>
      <c r="E1580">
        <v>697.29300000000001</v>
      </c>
      <c r="G1580">
        <f t="shared" si="51"/>
        <v>0.96930129359376871</v>
      </c>
    </row>
    <row r="1581" spans="1:7" x14ac:dyDescent="0.2">
      <c r="A1581">
        <v>31605</v>
      </c>
      <c r="C1581">
        <v>30.1113</v>
      </c>
      <c r="E1581">
        <v>639.255</v>
      </c>
      <c r="G1581">
        <f t="shared" si="51"/>
        <v>0.97188980100366296</v>
      </c>
    </row>
    <row r="1582" spans="1:7" x14ac:dyDescent="0.2">
      <c r="A1582">
        <v>26736.2</v>
      </c>
      <c r="C1582">
        <v>30.667100000000001</v>
      </c>
      <c r="E1582">
        <v>606.13</v>
      </c>
      <c r="G1582">
        <f t="shared" si="51"/>
        <v>0.91448717494440224</v>
      </c>
    </row>
    <row r="1583" spans="1:7" x14ac:dyDescent="0.2">
      <c r="A1583">
        <v>32150.7</v>
      </c>
      <c r="C1583">
        <v>44.436700000000002</v>
      </c>
      <c r="E1583">
        <v>668.322</v>
      </c>
      <c r="G1583">
        <f t="shared" si="51"/>
        <v>0.90454132951591493</v>
      </c>
    </row>
    <row r="1584" spans="1:7" x14ac:dyDescent="0.2">
      <c r="A1584">
        <v>1347.48</v>
      </c>
      <c r="C1584">
        <v>773.505</v>
      </c>
      <c r="E1584">
        <v>1296.8800000000001</v>
      </c>
      <c r="G1584">
        <f t="shared" si="51"/>
        <v>1.0067745753186738E-2</v>
      </c>
    </row>
    <row r="1585" spans="1:7" x14ac:dyDescent="0.2">
      <c r="A1585">
        <v>28825.5</v>
      </c>
      <c r="C1585">
        <v>64.361500000000007</v>
      </c>
      <c r="E1585">
        <v>724.04200000000003</v>
      </c>
      <c r="G1585">
        <f t="shared" si="51"/>
        <v>0.69096942050924148</v>
      </c>
    </row>
    <row r="1586" spans="1:7" x14ac:dyDescent="0.2">
      <c r="A1586">
        <v>31088</v>
      </c>
      <c r="C1586">
        <v>36.329000000000001</v>
      </c>
      <c r="E1586">
        <v>655.80700000000002</v>
      </c>
      <c r="G1586">
        <f t="shared" si="51"/>
        <v>0.90834365005670015</v>
      </c>
    </row>
    <row r="1587" spans="1:7" x14ac:dyDescent="0.2">
      <c r="A1587">
        <v>31829.3</v>
      </c>
      <c r="C1587">
        <v>29.578700000000001</v>
      </c>
      <c r="E1587">
        <v>642.01199999999994</v>
      </c>
      <c r="G1587">
        <f t="shared" si="51"/>
        <v>0.97039889534768453</v>
      </c>
    </row>
    <row r="1588" spans="1:7" x14ac:dyDescent="0.2">
      <c r="A1588">
        <v>27315.4</v>
      </c>
      <c r="C1588">
        <v>37.326999999999998</v>
      </c>
      <c r="E1588">
        <v>610.995</v>
      </c>
      <c r="G1588">
        <f t="shared" si="51"/>
        <v>0.91947886118609679</v>
      </c>
    </row>
    <row r="1589" spans="1:7" x14ac:dyDescent="0.2">
      <c r="A1589">
        <v>28383.8</v>
      </c>
      <c r="C1589">
        <v>39.128500000000003</v>
      </c>
      <c r="E1589">
        <v>633.08799999999997</v>
      </c>
      <c r="G1589">
        <f t="shared" si="51"/>
        <v>0.88992185376329558</v>
      </c>
    </row>
    <row r="1590" spans="1:7" x14ac:dyDescent="0.2">
      <c r="A1590">
        <v>31441</v>
      </c>
      <c r="C1590">
        <v>31.521100000000001</v>
      </c>
      <c r="E1590">
        <v>645.20699999999999</v>
      </c>
      <c r="G1590">
        <f t="shared" si="51"/>
        <v>0.94909067582296402</v>
      </c>
    </row>
    <row r="1591" spans="1:7" x14ac:dyDescent="0.2">
      <c r="A1591">
        <v>36362.800000000003</v>
      </c>
      <c r="C1591">
        <v>43.073500000000003</v>
      </c>
      <c r="E1591">
        <v>725.61699999999996</v>
      </c>
      <c r="G1591">
        <f t="shared" si="51"/>
        <v>0.86786448525052584</v>
      </c>
    </row>
    <row r="1592" spans="1:7" x14ac:dyDescent="0.2">
      <c r="A1592">
        <v>35948.1</v>
      </c>
      <c r="C1592">
        <v>32.106400000000001</v>
      </c>
      <c r="E1592">
        <v>720.26199999999994</v>
      </c>
      <c r="G1592">
        <f t="shared" si="51"/>
        <v>0.87077195466757906</v>
      </c>
    </row>
    <row r="1593" spans="1:7" x14ac:dyDescent="0.2">
      <c r="A1593">
        <v>43754.3</v>
      </c>
      <c r="C1593">
        <v>35.041600000000003</v>
      </c>
      <c r="E1593">
        <v>759.18299999999999</v>
      </c>
      <c r="G1593">
        <f t="shared" si="51"/>
        <v>0.953975646982684</v>
      </c>
    </row>
    <row r="1594" spans="1:7" x14ac:dyDescent="0.2">
      <c r="A1594">
        <v>37645.5</v>
      </c>
      <c r="C1594">
        <v>51.724699999999999</v>
      </c>
      <c r="E1594">
        <v>765.101</v>
      </c>
      <c r="G1594">
        <f t="shared" si="51"/>
        <v>0.80813706816190467</v>
      </c>
    </row>
    <row r="1595" spans="1:7" x14ac:dyDescent="0.2">
      <c r="A1595">
        <v>4212.7700000000004</v>
      </c>
      <c r="C1595">
        <v>89.727099999999993</v>
      </c>
      <c r="E1595">
        <v>1167.32</v>
      </c>
      <c r="G1595">
        <f t="shared" si="51"/>
        <v>3.8850569852088186E-2</v>
      </c>
    </row>
    <row r="1596" spans="1:7" x14ac:dyDescent="0.2">
      <c r="A1596">
        <v>30380.2</v>
      </c>
      <c r="C1596">
        <v>32.834299999999999</v>
      </c>
      <c r="E1596">
        <v>629.08100000000002</v>
      </c>
      <c r="G1596">
        <f t="shared" si="51"/>
        <v>0.96468825005339798</v>
      </c>
    </row>
    <row r="1597" spans="1:7" x14ac:dyDescent="0.2">
      <c r="A1597">
        <v>49377.1</v>
      </c>
      <c r="C1597">
        <v>45.117600000000003</v>
      </c>
      <c r="E1597">
        <v>835.51400000000001</v>
      </c>
      <c r="G1597">
        <f t="shared" si="51"/>
        <v>0.88884823404025437</v>
      </c>
    </row>
    <row r="1598" spans="1:7" x14ac:dyDescent="0.2">
      <c r="A1598">
        <v>35502.5</v>
      </c>
      <c r="C1598">
        <v>31.045300000000001</v>
      </c>
      <c r="E1598">
        <v>679.91499999999996</v>
      </c>
      <c r="G1598">
        <f t="shared" si="51"/>
        <v>0.96507082853620685</v>
      </c>
    </row>
    <row r="1599" spans="1:7" x14ac:dyDescent="0.2">
      <c r="A1599">
        <v>33319.599999999999</v>
      </c>
      <c r="C1599">
        <v>35.49</v>
      </c>
      <c r="E1599">
        <v>665.87099999999998</v>
      </c>
      <c r="G1599">
        <f t="shared" si="51"/>
        <v>0.94434149747053475</v>
      </c>
    </row>
    <row r="1600" spans="1:7" x14ac:dyDescent="0.2">
      <c r="A1600">
        <v>38119.699999999997</v>
      </c>
      <c r="C1600">
        <v>29.8156</v>
      </c>
      <c r="E1600">
        <v>705.15599999999995</v>
      </c>
      <c r="G1600">
        <f t="shared" si="51"/>
        <v>0.96335988975669795</v>
      </c>
    </row>
    <row r="1601" spans="1:7" x14ac:dyDescent="0.2">
      <c r="A1601">
        <v>35558.199999999997</v>
      </c>
      <c r="C1601">
        <v>32.447699999999998</v>
      </c>
      <c r="E1601">
        <v>682.90099999999995</v>
      </c>
      <c r="G1601">
        <f t="shared" si="51"/>
        <v>0.9581505829657353</v>
      </c>
    </row>
    <row r="1602" spans="1:7" x14ac:dyDescent="0.2">
      <c r="A1602">
        <v>42196.1</v>
      </c>
      <c r="C1602">
        <v>33.436399999999999</v>
      </c>
      <c r="E1602">
        <v>737.71400000000006</v>
      </c>
      <c r="G1602">
        <f t="shared" si="51"/>
        <v>0.97432929210606134</v>
      </c>
    </row>
    <row r="1603" spans="1:7" x14ac:dyDescent="0.2">
      <c r="A1603">
        <v>36462.6</v>
      </c>
      <c r="C1603">
        <v>28.837900000000001</v>
      </c>
      <c r="E1603">
        <v>693.346</v>
      </c>
      <c r="G1603">
        <f t="shared" ref="G1603:G1666" si="52" xml:space="preserve"> 3.14159*4*A1603/(E1603*E1603)</f>
        <v>0.95314089065635843</v>
      </c>
    </row>
    <row r="1604" spans="1:7" x14ac:dyDescent="0.2">
      <c r="A1604">
        <v>45234.2</v>
      </c>
      <c r="C1604">
        <v>34.3367</v>
      </c>
      <c r="E1604">
        <v>790.78099999999995</v>
      </c>
      <c r="G1604">
        <f t="shared" si="52"/>
        <v>0.90900015869496531</v>
      </c>
    </row>
    <row r="1605" spans="1:7" x14ac:dyDescent="0.2">
      <c r="A1605">
        <v>30498.6</v>
      </c>
      <c r="C1605">
        <v>27.152200000000001</v>
      </c>
      <c r="E1605">
        <v>632.54899999999998</v>
      </c>
      <c r="G1605">
        <f t="shared" si="52"/>
        <v>0.95785783118878176</v>
      </c>
    </row>
    <row r="1606" spans="1:7" x14ac:dyDescent="0.2">
      <c r="A1606">
        <v>34063.599999999999</v>
      </c>
      <c r="C1606">
        <v>24.1586</v>
      </c>
      <c r="E1606">
        <v>663.38900000000001</v>
      </c>
      <c r="G1606">
        <f t="shared" si="52"/>
        <v>0.97266549468186059</v>
      </c>
    </row>
    <row r="1607" spans="1:7" x14ac:dyDescent="0.2">
      <c r="A1607">
        <v>36588.300000000003</v>
      </c>
      <c r="C1607">
        <v>27.297899999999998</v>
      </c>
      <c r="E1607">
        <v>698.904</v>
      </c>
      <c r="G1607">
        <f t="shared" si="52"/>
        <v>0.94127533016247822</v>
      </c>
    </row>
    <row r="1608" spans="1:7" x14ac:dyDescent="0.2">
      <c r="A1608">
        <v>33397.300000000003</v>
      </c>
      <c r="C1608">
        <v>24.1374</v>
      </c>
      <c r="E1608">
        <v>657.05200000000002</v>
      </c>
      <c r="G1608">
        <f t="shared" si="52"/>
        <v>0.97212334316907123</v>
      </c>
    </row>
    <row r="1609" spans="1:7" x14ac:dyDescent="0.2">
      <c r="A1609">
        <v>34211.4</v>
      </c>
      <c r="C1609">
        <v>26.668700000000001</v>
      </c>
      <c r="E1609">
        <v>669.24900000000002</v>
      </c>
      <c r="G1609">
        <f t="shared" si="52"/>
        <v>0.95985334363910013</v>
      </c>
    </row>
    <row r="1610" spans="1:7" x14ac:dyDescent="0.2">
      <c r="A1610">
        <v>39831.599999999999</v>
      </c>
      <c r="C1610">
        <v>23.9709</v>
      </c>
      <c r="E1610">
        <v>716.57299999999998</v>
      </c>
      <c r="G1610">
        <f t="shared" si="52"/>
        <v>0.97480190393795463</v>
      </c>
    </row>
    <row r="1611" spans="1:7" x14ac:dyDescent="0.2">
      <c r="A1611">
        <v>27503.4</v>
      </c>
      <c r="C1611">
        <v>24.622599999999998</v>
      </c>
      <c r="E1611">
        <v>599.59699999999998</v>
      </c>
      <c r="G1611">
        <f t="shared" si="52"/>
        <v>0.9613399263392266</v>
      </c>
    </row>
    <row r="1612" spans="1:7" x14ac:dyDescent="0.2">
      <c r="A1612">
        <v>3905.14</v>
      </c>
      <c r="C1612">
        <v>55.392499999999998</v>
      </c>
      <c r="E1612">
        <v>282.01499999999999</v>
      </c>
      <c r="G1612">
        <f t="shared" si="52"/>
        <v>0.61702347634625809</v>
      </c>
    </row>
    <row r="1613" spans="1:7" x14ac:dyDescent="0.2">
      <c r="A1613">
        <v>36687.1</v>
      </c>
      <c r="C1613">
        <v>54.684699999999999</v>
      </c>
      <c r="E1613">
        <v>715.99300000000005</v>
      </c>
      <c r="G1613">
        <f t="shared" si="52"/>
        <v>0.89930152092315285</v>
      </c>
    </row>
    <row r="1614" spans="1:7" x14ac:dyDescent="0.2">
      <c r="A1614">
        <v>32870.9</v>
      </c>
      <c r="C1614">
        <v>30.360199999999999</v>
      </c>
      <c r="E1614">
        <v>664.35900000000004</v>
      </c>
      <c r="G1614">
        <f t="shared" si="52"/>
        <v>0.93586982983526001</v>
      </c>
    </row>
    <row r="1615" spans="1:7" x14ac:dyDescent="0.2">
      <c r="A1615">
        <v>28720.9</v>
      </c>
      <c r="C1615">
        <v>30.212599999999998</v>
      </c>
      <c r="E1615">
        <v>610.66600000000005</v>
      </c>
      <c r="G1615">
        <f t="shared" si="52"/>
        <v>0.96783218658420633</v>
      </c>
    </row>
    <row r="1616" spans="1:7" x14ac:dyDescent="0.2">
      <c r="A1616">
        <v>29647.7</v>
      </c>
      <c r="C1616">
        <v>29.3733</v>
      </c>
      <c r="E1616">
        <v>619.76300000000003</v>
      </c>
      <c r="G1616">
        <f t="shared" si="52"/>
        <v>0.96994970267824709</v>
      </c>
    </row>
    <row r="1617" spans="1:7" x14ac:dyDescent="0.2">
      <c r="A1617">
        <v>27249.8</v>
      </c>
      <c r="C1617">
        <v>27.574200000000001</v>
      </c>
      <c r="E1617">
        <v>591.99099999999999</v>
      </c>
      <c r="G1617">
        <f t="shared" si="52"/>
        <v>0.97710808731462484</v>
      </c>
    </row>
    <row r="1618" spans="1:7" x14ac:dyDescent="0.2">
      <c r="A1618">
        <v>25651.9</v>
      </c>
      <c r="C1618">
        <v>29.168299999999999</v>
      </c>
      <c r="E1618">
        <v>583.81799999999998</v>
      </c>
      <c r="G1618">
        <f t="shared" si="52"/>
        <v>0.94574504320535513</v>
      </c>
    </row>
    <row r="1619" spans="1:7" x14ac:dyDescent="0.2">
      <c r="A1619">
        <v>26193.8</v>
      </c>
      <c r="C1619">
        <v>23.608499999999999</v>
      </c>
      <c r="E1619">
        <v>579.76499999999999</v>
      </c>
      <c r="G1619">
        <f t="shared" si="52"/>
        <v>0.97927353285575391</v>
      </c>
    </row>
    <row r="1620" spans="1:7" x14ac:dyDescent="0.2">
      <c r="A1620">
        <v>31460.6</v>
      </c>
      <c r="C1620">
        <v>38.175899999999999</v>
      </c>
      <c r="E1620">
        <v>660.15800000000002</v>
      </c>
      <c r="G1620">
        <f t="shared" si="52"/>
        <v>0.90715336745524977</v>
      </c>
    </row>
    <row r="1621" spans="1:7" x14ac:dyDescent="0.2">
      <c r="A1621">
        <v>37683.4</v>
      </c>
      <c r="C1621">
        <v>40.410899999999998</v>
      </c>
      <c r="E1621">
        <v>707.39200000000005</v>
      </c>
      <c r="G1621">
        <f t="shared" si="52"/>
        <v>0.94632276878296206</v>
      </c>
    </row>
    <row r="1622" spans="1:7" x14ac:dyDescent="0.2">
      <c r="A1622">
        <v>28045.8</v>
      </c>
      <c r="C1622">
        <v>48.222200000000001</v>
      </c>
      <c r="E1622">
        <v>666.52700000000004</v>
      </c>
      <c r="G1622">
        <f t="shared" si="52"/>
        <v>0.79330800463345463</v>
      </c>
    </row>
    <row r="1623" spans="1:7" x14ac:dyDescent="0.2">
      <c r="A1623">
        <v>30778.799999999999</v>
      </c>
      <c r="C1623">
        <v>37.606000000000002</v>
      </c>
      <c r="E1623">
        <v>645.37900000000002</v>
      </c>
      <c r="G1623">
        <f t="shared" si="52"/>
        <v>0.92860607652237714</v>
      </c>
    </row>
    <row r="1624" spans="1:7" x14ac:dyDescent="0.2">
      <c r="A1624">
        <v>33823.300000000003</v>
      </c>
      <c r="C1624">
        <v>42.858400000000003</v>
      </c>
      <c r="E1624">
        <v>747.63099999999997</v>
      </c>
      <c r="G1624">
        <f t="shared" si="52"/>
        <v>0.76041534675438027</v>
      </c>
    </row>
    <row r="1625" spans="1:7" x14ac:dyDescent="0.2">
      <c r="A1625">
        <v>28449</v>
      </c>
      <c r="C1625">
        <v>29.292999999999999</v>
      </c>
      <c r="E1625">
        <v>625.01300000000003</v>
      </c>
      <c r="G1625">
        <f t="shared" si="52"/>
        <v>0.91516289046622035</v>
      </c>
    </row>
    <row r="1626" spans="1:7" x14ac:dyDescent="0.2">
      <c r="A1626">
        <v>43781.7</v>
      </c>
      <c r="C1626">
        <v>35.975999999999999</v>
      </c>
      <c r="E1626">
        <v>778.26700000000005</v>
      </c>
      <c r="G1626">
        <f t="shared" si="52"/>
        <v>0.9083325683079525</v>
      </c>
    </row>
    <row r="1627" spans="1:7" x14ac:dyDescent="0.2">
      <c r="A1627">
        <v>29479.1</v>
      </c>
      <c r="C1627">
        <v>40.288800000000002</v>
      </c>
      <c r="E1627">
        <v>666.01300000000003</v>
      </c>
      <c r="G1627">
        <f t="shared" si="52"/>
        <v>0.83513811487898781</v>
      </c>
    </row>
    <row r="1628" spans="1:7" x14ac:dyDescent="0.2">
      <c r="A1628">
        <v>31512.1</v>
      </c>
      <c r="C1628">
        <v>31.660299999999999</v>
      </c>
      <c r="E1628">
        <v>644.84799999999996</v>
      </c>
      <c r="G1628">
        <f t="shared" si="52"/>
        <v>0.95229636975260079</v>
      </c>
    </row>
    <row r="1629" spans="1:7" x14ac:dyDescent="0.2">
      <c r="A1629">
        <v>27368.7</v>
      </c>
      <c r="C1629">
        <v>29.236799999999999</v>
      </c>
      <c r="E1629">
        <v>600.62400000000002</v>
      </c>
      <c r="G1629">
        <f t="shared" si="52"/>
        <v>0.95336302079264124</v>
      </c>
    </row>
    <row r="1630" spans="1:7" x14ac:dyDescent="0.2">
      <c r="A1630">
        <v>27059</v>
      </c>
      <c r="C1630">
        <v>38.192300000000003</v>
      </c>
      <c r="E1630">
        <v>601.36</v>
      </c>
      <c r="G1630">
        <f t="shared" si="52"/>
        <v>0.94026910261887153</v>
      </c>
    </row>
    <row r="1631" spans="1:7" x14ac:dyDescent="0.2">
      <c r="A1631">
        <v>36324.800000000003</v>
      </c>
      <c r="C1631">
        <v>26.788</v>
      </c>
      <c r="E1631">
        <v>697.04200000000003</v>
      </c>
      <c r="G1631">
        <f t="shared" si="52"/>
        <v>0.93949578223472829</v>
      </c>
    </row>
    <row r="1632" spans="1:7" x14ac:dyDescent="0.2">
      <c r="A1632">
        <v>20994.1</v>
      </c>
      <c r="C1632">
        <v>38.177999999999997</v>
      </c>
      <c r="E1632">
        <v>525.80499999999995</v>
      </c>
      <c r="G1632">
        <f t="shared" si="52"/>
        <v>0.95423938056635538</v>
      </c>
    </row>
    <row r="1633" spans="1:7" x14ac:dyDescent="0.2">
      <c r="A1633">
        <v>29161.9</v>
      </c>
      <c r="C1633">
        <v>25.619599999999998</v>
      </c>
      <c r="E1633">
        <v>615.83500000000004</v>
      </c>
      <c r="G1633">
        <f t="shared" si="52"/>
        <v>0.96626573272148286</v>
      </c>
    </row>
    <row r="1634" spans="1:7" x14ac:dyDescent="0.2">
      <c r="A1634">
        <v>27777.9</v>
      </c>
      <c r="C1634">
        <v>45.933199999999999</v>
      </c>
      <c r="E1634">
        <v>738.72900000000004</v>
      </c>
      <c r="G1634">
        <f t="shared" si="52"/>
        <v>0.63964441279805762</v>
      </c>
    </row>
    <row r="1635" spans="1:7" x14ac:dyDescent="0.2">
      <c r="A1635">
        <v>21851.200000000001</v>
      </c>
      <c r="C1635">
        <v>26.6724</v>
      </c>
      <c r="E1635">
        <v>530.20299999999997</v>
      </c>
      <c r="G1635">
        <f t="shared" si="52"/>
        <v>0.97678825234387179</v>
      </c>
    </row>
    <row r="1636" spans="1:7" x14ac:dyDescent="0.2">
      <c r="A1636">
        <v>42544.5</v>
      </c>
      <c r="C1636">
        <v>23.653199999999998</v>
      </c>
      <c r="E1636">
        <v>740.947</v>
      </c>
      <c r="G1636">
        <f t="shared" si="52"/>
        <v>0.97381987346187693</v>
      </c>
    </row>
    <row r="1637" spans="1:7" x14ac:dyDescent="0.2">
      <c r="A1637">
        <v>19048.2</v>
      </c>
      <c r="C1637">
        <v>32.145800000000001</v>
      </c>
      <c r="E1637">
        <v>502.50799999999998</v>
      </c>
      <c r="G1637">
        <f t="shared" si="52"/>
        <v>0.94793264369843133</v>
      </c>
    </row>
    <row r="1638" spans="1:7" x14ac:dyDescent="0.2">
      <c r="A1638">
        <v>36968.400000000001</v>
      </c>
      <c r="C1638">
        <v>31.700900000000001</v>
      </c>
      <c r="E1638">
        <v>726.03399999999999</v>
      </c>
      <c r="G1638">
        <f t="shared" si="52"/>
        <v>0.88130499916522975</v>
      </c>
    </row>
    <row r="1639" spans="1:7" x14ac:dyDescent="0.2">
      <c r="A1639">
        <v>22122.3</v>
      </c>
      <c r="C1639">
        <v>30.087</v>
      </c>
      <c r="E1639">
        <v>588.69100000000003</v>
      </c>
      <c r="G1639">
        <f t="shared" si="52"/>
        <v>0.80216735151964547</v>
      </c>
    </row>
    <row r="1640" spans="1:7" x14ac:dyDescent="0.2">
      <c r="A1640">
        <v>24677.4</v>
      </c>
      <c r="C1640">
        <v>41.294699999999999</v>
      </c>
      <c r="E1640">
        <v>679.30399999999997</v>
      </c>
      <c r="G1640">
        <f t="shared" si="52"/>
        <v>0.67201745581957772</v>
      </c>
    </row>
    <row r="1641" spans="1:7" x14ac:dyDescent="0.2">
      <c r="A1641">
        <v>22444</v>
      </c>
      <c r="C1641">
        <v>31.837</v>
      </c>
      <c r="E1641">
        <v>545.4</v>
      </c>
      <c r="G1641">
        <f t="shared" si="52"/>
        <v>0.9481553283796782</v>
      </c>
    </row>
    <row r="1642" spans="1:7" x14ac:dyDescent="0.2">
      <c r="A1642">
        <v>24935.5</v>
      </c>
      <c r="C1642">
        <v>26.541499999999999</v>
      </c>
      <c r="E1642">
        <v>570.84900000000005</v>
      </c>
      <c r="G1642">
        <f t="shared" si="52"/>
        <v>0.96157926305682784</v>
      </c>
    </row>
    <row r="1643" spans="1:7" x14ac:dyDescent="0.2">
      <c r="A1643">
        <v>19703.400000000001</v>
      </c>
      <c r="C1643">
        <v>29.671199999999999</v>
      </c>
      <c r="E1643">
        <v>504.75599999999997</v>
      </c>
      <c r="G1643">
        <f t="shared" si="52"/>
        <v>0.97182415885181583</v>
      </c>
    </row>
    <row r="1644" spans="1:7" x14ac:dyDescent="0.2">
      <c r="A1644">
        <v>17825.5</v>
      </c>
      <c r="C1644">
        <v>25.091699999999999</v>
      </c>
      <c r="E1644">
        <v>484.786</v>
      </c>
      <c r="G1644">
        <f t="shared" si="52"/>
        <v>0.95312767253833819</v>
      </c>
    </row>
    <row r="1645" spans="1:7" x14ac:dyDescent="0.2">
      <c r="A1645">
        <v>27888.1</v>
      </c>
      <c r="C1645">
        <v>28.959499999999998</v>
      </c>
      <c r="E1645">
        <v>616.93499999999995</v>
      </c>
      <c r="G1645">
        <f t="shared" si="52"/>
        <v>0.9207667022765309</v>
      </c>
    </row>
    <row r="1646" spans="1:7" x14ac:dyDescent="0.2">
      <c r="A1646">
        <v>36595.9</v>
      </c>
      <c r="C1646">
        <v>35.229700000000001</v>
      </c>
      <c r="E1646">
        <v>702.23900000000003</v>
      </c>
      <c r="G1646">
        <f t="shared" si="52"/>
        <v>0.93254981284815475</v>
      </c>
    </row>
    <row r="1647" spans="1:7" x14ac:dyDescent="0.2">
      <c r="A1647">
        <v>23873.3</v>
      </c>
      <c r="C1647">
        <v>26.3322</v>
      </c>
      <c r="E1647">
        <v>555.82600000000002</v>
      </c>
      <c r="G1647">
        <f t="shared" si="52"/>
        <v>0.97105591213782572</v>
      </c>
    </row>
    <row r="1648" spans="1:7" x14ac:dyDescent="0.2">
      <c r="A1648">
        <v>31199.3</v>
      </c>
      <c r="C1648">
        <v>28.119</v>
      </c>
      <c r="E1648">
        <v>635.09</v>
      </c>
      <c r="G1648">
        <f t="shared" si="52"/>
        <v>0.97203924257934227</v>
      </c>
    </row>
    <row r="1649" spans="1:7" x14ac:dyDescent="0.2">
      <c r="A1649">
        <v>38757.800000000003</v>
      </c>
      <c r="C1649">
        <v>52.275599999999997</v>
      </c>
      <c r="E1649">
        <v>959.21900000000005</v>
      </c>
      <c r="G1649">
        <f t="shared" si="52"/>
        <v>0.52933799657670677</v>
      </c>
    </row>
    <row r="1650" spans="1:7" x14ac:dyDescent="0.2">
      <c r="A1650">
        <v>21720.3</v>
      </c>
      <c r="C1650">
        <v>27.997900000000001</v>
      </c>
      <c r="E1650">
        <v>527.83600000000001</v>
      </c>
      <c r="G1650">
        <f t="shared" si="52"/>
        <v>0.97966434569054117</v>
      </c>
    </row>
    <row r="1651" spans="1:7" x14ac:dyDescent="0.2">
      <c r="A1651">
        <v>36124.6</v>
      </c>
      <c r="C1651">
        <v>33.8904</v>
      </c>
      <c r="E1651">
        <v>700.06100000000004</v>
      </c>
      <c r="G1651">
        <f t="shared" si="52"/>
        <v>0.92627677749495096</v>
      </c>
    </row>
    <row r="1652" spans="1:7" x14ac:dyDescent="0.2">
      <c r="A1652">
        <v>23487.200000000001</v>
      </c>
      <c r="C1652">
        <v>26.500499999999999</v>
      </c>
      <c r="E1652">
        <v>554.60299999999995</v>
      </c>
      <c r="G1652">
        <f t="shared" si="52"/>
        <v>0.95956923213628265</v>
      </c>
    </row>
    <row r="1653" spans="1:7" x14ac:dyDescent="0.2">
      <c r="A1653">
        <v>30483.8</v>
      </c>
      <c r="C1653">
        <v>40.921700000000001</v>
      </c>
      <c r="E1653">
        <v>656.20299999999997</v>
      </c>
      <c r="G1653">
        <f t="shared" si="52"/>
        <v>0.88961516527362416</v>
      </c>
    </row>
    <row r="1654" spans="1:7" x14ac:dyDescent="0.2">
      <c r="A1654">
        <v>20423.599999999999</v>
      </c>
      <c r="C1654">
        <v>26.631900000000002</v>
      </c>
      <c r="E1654">
        <v>516.95100000000002</v>
      </c>
      <c r="G1654">
        <f t="shared" si="52"/>
        <v>0.96037983753531386</v>
      </c>
    </row>
    <row r="1655" spans="1:7" x14ac:dyDescent="0.2">
      <c r="A1655">
        <v>21339.200000000001</v>
      </c>
      <c r="C1655">
        <v>27.634699999999999</v>
      </c>
      <c r="E1655">
        <v>528.98199999999997</v>
      </c>
      <c r="G1655">
        <f t="shared" si="52"/>
        <v>0.95830960813349375</v>
      </c>
    </row>
    <row r="1656" spans="1:7" x14ac:dyDescent="0.2">
      <c r="A1656">
        <v>32442.7</v>
      </c>
      <c r="C1656">
        <v>24.607700000000001</v>
      </c>
      <c r="E1656">
        <v>649.39099999999996</v>
      </c>
      <c r="G1656">
        <f t="shared" si="52"/>
        <v>0.96674950202065735</v>
      </c>
    </row>
    <row r="1657" spans="1:7" x14ac:dyDescent="0.2">
      <c r="A1657">
        <v>22383.599999999999</v>
      </c>
      <c r="C1657">
        <v>37.255200000000002</v>
      </c>
      <c r="E1657">
        <v>583.73800000000006</v>
      </c>
      <c r="G1657">
        <f t="shared" si="52"/>
        <v>0.82547419586129522</v>
      </c>
    </row>
    <row r="1658" spans="1:7" x14ac:dyDescent="0.2">
      <c r="A1658">
        <v>35871.300000000003</v>
      </c>
      <c r="C1658">
        <v>34.368299999999998</v>
      </c>
      <c r="E1658">
        <v>711.78899999999999</v>
      </c>
      <c r="G1658">
        <f t="shared" si="52"/>
        <v>0.88972146652772177</v>
      </c>
    </row>
    <row r="1659" spans="1:7" x14ac:dyDescent="0.2">
      <c r="A1659">
        <v>22457.3</v>
      </c>
      <c r="C1659">
        <v>26.232399999999998</v>
      </c>
      <c r="E1659">
        <v>542.33799999999997</v>
      </c>
      <c r="G1659">
        <f t="shared" si="52"/>
        <v>0.95946020707519442</v>
      </c>
    </row>
    <row r="1660" spans="1:7" x14ac:dyDescent="0.2">
      <c r="A1660">
        <v>25013.5</v>
      </c>
      <c r="C1660">
        <v>22.4575</v>
      </c>
      <c r="E1660">
        <v>569.12</v>
      </c>
      <c r="G1660">
        <f t="shared" si="52"/>
        <v>0.97045693053513649</v>
      </c>
    </row>
    <row r="1661" spans="1:7" x14ac:dyDescent="0.2">
      <c r="A1661">
        <v>28045.7</v>
      </c>
      <c r="C1661">
        <v>44.883899999999997</v>
      </c>
      <c r="E1661">
        <v>703.35400000000004</v>
      </c>
      <c r="G1661">
        <f t="shared" si="52"/>
        <v>0.71240647494427445</v>
      </c>
    </row>
    <row r="1662" spans="1:7" x14ac:dyDescent="0.2">
      <c r="A1662">
        <v>30239</v>
      </c>
      <c r="C1662">
        <v>27.307600000000001</v>
      </c>
      <c r="E1662">
        <v>631.43200000000002</v>
      </c>
      <c r="G1662">
        <f t="shared" si="52"/>
        <v>0.95306769100600452</v>
      </c>
    </row>
    <row r="1663" spans="1:7" x14ac:dyDescent="0.2">
      <c r="A1663">
        <v>26624.3</v>
      </c>
      <c r="C1663">
        <v>50.851300000000002</v>
      </c>
      <c r="E1663">
        <v>687.00300000000004</v>
      </c>
      <c r="G1663">
        <f t="shared" si="52"/>
        <v>0.70887625363890971</v>
      </c>
    </row>
    <row r="1664" spans="1:7" x14ac:dyDescent="0.2">
      <c r="A1664">
        <v>33965.599999999999</v>
      </c>
      <c r="C1664">
        <v>21.8508</v>
      </c>
      <c r="E1664">
        <v>673.01300000000003</v>
      </c>
      <c r="G1664">
        <f t="shared" si="52"/>
        <v>0.94232753524180368</v>
      </c>
    </row>
    <row r="1665" spans="1:7" x14ac:dyDescent="0.2">
      <c r="A1665">
        <v>27647.5</v>
      </c>
      <c r="C1665">
        <v>37.382899999999999</v>
      </c>
      <c r="E1665">
        <v>609.62800000000004</v>
      </c>
      <c r="G1665">
        <f t="shared" si="52"/>
        <v>0.9348362666618647</v>
      </c>
    </row>
    <row r="1666" spans="1:7" x14ac:dyDescent="0.2">
      <c r="A1666">
        <v>28854.3</v>
      </c>
      <c r="C1666">
        <v>34.195</v>
      </c>
      <c r="E1666">
        <v>627.721</v>
      </c>
      <c r="G1666">
        <f t="shared" si="52"/>
        <v>0.92020952477910245</v>
      </c>
    </row>
    <row r="1667" spans="1:7" x14ac:dyDescent="0.2">
      <c r="A1667">
        <v>47730.400000000001</v>
      </c>
      <c r="C1667">
        <v>53.330800000000004</v>
      </c>
      <c r="E1667">
        <v>892.19600000000003</v>
      </c>
      <c r="G1667">
        <f t="shared" ref="G1667:G1730" si="53" xml:space="preserve"> 3.14159*4*A1667/(E1667*E1667)</f>
        <v>0.75350133738092795</v>
      </c>
    </row>
    <row r="1668" spans="1:7" x14ac:dyDescent="0.2">
      <c r="A1668">
        <v>21115.4</v>
      </c>
      <c r="C1668">
        <v>51.5625</v>
      </c>
      <c r="E1668">
        <v>644.76800000000003</v>
      </c>
      <c r="G1668">
        <f t="shared" si="53"/>
        <v>0.63826621934760019</v>
      </c>
    </row>
    <row r="1669" spans="1:7" x14ac:dyDescent="0.2">
      <c r="A1669">
        <v>21254.799999999999</v>
      </c>
      <c r="C1669">
        <v>36.401299999999999</v>
      </c>
      <c r="E1669">
        <v>544.077</v>
      </c>
      <c r="G1669">
        <f t="shared" si="53"/>
        <v>0.90228925508790003</v>
      </c>
    </row>
    <row r="1670" spans="1:7" x14ac:dyDescent="0.2">
      <c r="A1670">
        <v>26866.2</v>
      </c>
      <c r="C1670">
        <v>39.427700000000002</v>
      </c>
      <c r="E1670">
        <v>724.221</v>
      </c>
      <c r="G1670">
        <f t="shared" si="53"/>
        <v>0.6436851843375172</v>
      </c>
    </row>
    <row r="1671" spans="1:7" x14ac:dyDescent="0.2">
      <c r="A1671">
        <v>649.846</v>
      </c>
      <c r="C1671">
        <v>15.1967</v>
      </c>
      <c r="E1671">
        <v>91.307599999999994</v>
      </c>
      <c r="G1671">
        <f t="shared" si="53"/>
        <v>0.97950372529377328</v>
      </c>
    </row>
    <row r="1672" spans="1:7" x14ac:dyDescent="0.2">
      <c r="A1672">
        <v>4940.5</v>
      </c>
      <c r="C1672">
        <v>76.0137</v>
      </c>
      <c r="E1672">
        <v>1103.01</v>
      </c>
      <c r="G1672">
        <f t="shared" si="53"/>
        <v>5.1029522109107626E-2</v>
      </c>
    </row>
    <row r="1673" spans="1:7" x14ac:dyDescent="0.2">
      <c r="A1673">
        <v>26388</v>
      </c>
      <c r="C1673">
        <v>26.865500000000001</v>
      </c>
      <c r="E1673">
        <v>592.37199999999996</v>
      </c>
      <c r="G1673">
        <f t="shared" si="53"/>
        <v>0.94498938043837399</v>
      </c>
    </row>
    <row r="1674" spans="1:7" x14ac:dyDescent="0.2">
      <c r="A1674">
        <v>21849</v>
      </c>
      <c r="C1674">
        <v>26.6632</v>
      </c>
      <c r="E1674">
        <v>546.178</v>
      </c>
      <c r="G1674">
        <f t="shared" si="53"/>
        <v>0.9203916208342412</v>
      </c>
    </row>
    <row r="1675" spans="1:7" x14ac:dyDescent="0.2">
      <c r="A1675">
        <v>28326.400000000001</v>
      </c>
      <c r="C1675">
        <v>29.140699999999999</v>
      </c>
      <c r="E1675">
        <v>604.96299999999997</v>
      </c>
      <c r="G1675">
        <f t="shared" si="53"/>
        <v>0.97262012915966278</v>
      </c>
    </row>
    <row r="1676" spans="1:7" x14ac:dyDescent="0.2">
      <c r="A1676">
        <v>41504.9</v>
      </c>
      <c r="C1676">
        <v>50.130699999999997</v>
      </c>
      <c r="E1676">
        <v>774.64599999999996</v>
      </c>
      <c r="G1676">
        <f t="shared" si="53"/>
        <v>0.86916514823814961</v>
      </c>
    </row>
    <row r="1677" spans="1:7" x14ac:dyDescent="0.2">
      <c r="A1677">
        <v>1775.5</v>
      </c>
      <c r="C1677">
        <v>43.853099999999998</v>
      </c>
      <c r="E1677">
        <v>573.745</v>
      </c>
      <c r="G1677">
        <f t="shared" si="53"/>
        <v>6.7778561317787075E-2</v>
      </c>
    </row>
    <row r="1678" spans="1:7" x14ac:dyDescent="0.2">
      <c r="A1678">
        <v>21716.400000000001</v>
      </c>
      <c r="C1678">
        <v>35.172600000000003</v>
      </c>
      <c r="E1678">
        <v>570.322</v>
      </c>
      <c r="G1678">
        <f t="shared" si="53"/>
        <v>0.83899057142241884</v>
      </c>
    </row>
    <row r="1679" spans="1:7" x14ac:dyDescent="0.2">
      <c r="A1679">
        <v>26111.4</v>
      </c>
      <c r="C1679">
        <v>33.136800000000001</v>
      </c>
      <c r="E1679">
        <v>623.15599999999995</v>
      </c>
      <c r="G1679">
        <f t="shared" si="53"/>
        <v>0.8449793451027855</v>
      </c>
    </row>
    <row r="1680" spans="1:7" x14ac:dyDescent="0.2">
      <c r="A1680">
        <v>22177.9</v>
      </c>
      <c r="C1680">
        <v>33.8688</v>
      </c>
      <c r="E1680">
        <v>546.11300000000006</v>
      </c>
      <c r="G1680">
        <f t="shared" si="53"/>
        <v>0.93446897777302873</v>
      </c>
    </row>
    <row r="1681" spans="1:7" x14ac:dyDescent="0.2">
      <c r="A1681">
        <v>22220.9</v>
      </c>
      <c r="C1681">
        <v>34.751600000000003</v>
      </c>
      <c r="E1681">
        <v>545.80799999999999</v>
      </c>
      <c r="G1681">
        <f t="shared" si="53"/>
        <v>0.93732747721874543</v>
      </c>
    </row>
    <row r="1682" spans="1:7" x14ac:dyDescent="0.2">
      <c r="A1682">
        <v>30822.7</v>
      </c>
      <c r="C1682">
        <v>51.012999999999998</v>
      </c>
      <c r="E1682">
        <v>691.08399999999995</v>
      </c>
      <c r="G1682">
        <f t="shared" si="53"/>
        <v>0.810995603577916</v>
      </c>
    </row>
    <row r="1683" spans="1:7" x14ac:dyDescent="0.2">
      <c r="A1683">
        <v>45816.7</v>
      </c>
      <c r="C1683">
        <v>36.431699999999999</v>
      </c>
      <c r="E1683">
        <v>805.23299999999995</v>
      </c>
      <c r="G1683">
        <f t="shared" si="53"/>
        <v>0.88795339693392428</v>
      </c>
    </row>
    <row r="1684" spans="1:7" x14ac:dyDescent="0.2">
      <c r="A1684">
        <v>26126.2</v>
      </c>
      <c r="C1684">
        <v>28.626899999999999</v>
      </c>
      <c r="E1684">
        <v>627.17999999999995</v>
      </c>
      <c r="G1684">
        <f t="shared" si="53"/>
        <v>0.83464412881464922</v>
      </c>
    </row>
    <row r="1685" spans="1:7" x14ac:dyDescent="0.2">
      <c r="A1685">
        <v>24331.3</v>
      </c>
      <c r="C1685">
        <v>31.368600000000001</v>
      </c>
      <c r="E1685">
        <v>565.44600000000003</v>
      </c>
      <c r="G1685">
        <f t="shared" si="53"/>
        <v>0.95629643845652534</v>
      </c>
    </row>
    <row r="1686" spans="1:7" x14ac:dyDescent="0.2">
      <c r="A1686">
        <v>4929.91</v>
      </c>
      <c r="C1686">
        <v>58.658000000000001</v>
      </c>
      <c r="E1686">
        <v>727.67600000000004</v>
      </c>
      <c r="G1686">
        <f t="shared" si="53"/>
        <v>0.11699636947740281</v>
      </c>
    </row>
    <row r="1687" spans="1:7" x14ac:dyDescent="0.2">
      <c r="A1687">
        <v>41268.6</v>
      </c>
      <c r="C1687">
        <v>45.518099999999997</v>
      </c>
      <c r="E1687">
        <v>772.596</v>
      </c>
      <c r="G1687">
        <f t="shared" si="53"/>
        <v>0.86880902300522844</v>
      </c>
    </row>
    <row r="1688" spans="1:7" x14ac:dyDescent="0.2">
      <c r="A1688">
        <v>46427.5</v>
      </c>
      <c r="C1688">
        <v>54.215899999999998</v>
      </c>
      <c r="E1688">
        <v>813.44399999999996</v>
      </c>
      <c r="G1688">
        <f t="shared" si="53"/>
        <v>0.88171753047557644</v>
      </c>
    </row>
    <row r="1689" spans="1:7" x14ac:dyDescent="0.2">
      <c r="A1689">
        <v>20780.8</v>
      </c>
      <c r="C1689">
        <v>30.330400000000001</v>
      </c>
      <c r="E1689">
        <v>531.42600000000004</v>
      </c>
      <c r="G1689">
        <f t="shared" si="53"/>
        <v>0.92466871255682659</v>
      </c>
    </row>
    <row r="1690" spans="1:7" x14ac:dyDescent="0.2">
      <c r="A1690">
        <v>25638.400000000001</v>
      </c>
      <c r="C1690">
        <v>38.060200000000002</v>
      </c>
      <c r="E1690">
        <v>611.22400000000005</v>
      </c>
      <c r="G1690">
        <f t="shared" si="53"/>
        <v>0.86238187213693007</v>
      </c>
    </row>
    <row r="1691" spans="1:7" x14ac:dyDescent="0.2">
      <c r="A1691">
        <v>29721</v>
      </c>
      <c r="C1691">
        <v>35.798099999999998</v>
      </c>
      <c r="E1691">
        <v>639.74800000000005</v>
      </c>
      <c r="G1691">
        <f t="shared" si="53"/>
        <v>0.91254657869645095</v>
      </c>
    </row>
    <row r="1692" spans="1:7" x14ac:dyDescent="0.2">
      <c r="A1692">
        <v>27972.2</v>
      </c>
      <c r="C1692">
        <v>48.610799999999998</v>
      </c>
      <c r="E1692">
        <v>670.90800000000002</v>
      </c>
      <c r="G1692">
        <f t="shared" si="53"/>
        <v>0.78092653689066172</v>
      </c>
    </row>
    <row r="1693" spans="1:7" x14ac:dyDescent="0.2">
      <c r="A1693">
        <v>635.85299999999995</v>
      </c>
      <c r="C1693">
        <v>19.369800000000001</v>
      </c>
      <c r="E1693">
        <v>90.409899999999993</v>
      </c>
      <c r="G1693">
        <f t="shared" si="53"/>
        <v>0.97753933991210096</v>
      </c>
    </row>
    <row r="1694" spans="1:7" x14ac:dyDescent="0.2">
      <c r="A1694">
        <v>22910.799999999999</v>
      </c>
      <c r="C1694">
        <v>53.081699999999998</v>
      </c>
      <c r="E1694">
        <v>653.67100000000005</v>
      </c>
      <c r="G1694">
        <f t="shared" si="53"/>
        <v>0.67380047896940531</v>
      </c>
    </row>
    <row r="1695" spans="1:7" x14ac:dyDescent="0.2">
      <c r="A1695">
        <v>28263</v>
      </c>
      <c r="C1695">
        <v>32.373199999999997</v>
      </c>
      <c r="E1695">
        <v>619.95500000000004</v>
      </c>
      <c r="G1695">
        <f t="shared" si="53"/>
        <v>0.92407542720495639</v>
      </c>
    </row>
    <row r="1696" spans="1:7" x14ac:dyDescent="0.2">
      <c r="A1696">
        <v>43961.7</v>
      </c>
      <c r="C1696">
        <v>40.656599999999997</v>
      </c>
      <c r="E1696">
        <v>763.88400000000001</v>
      </c>
      <c r="G1696">
        <f t="shared" si="53"/>
        <v>0.94673655950085522</v>
      </c>
    </row>
    <row r="1697" spans="1:7" x14ac:dyDescent="0.2">
      <c r="A1697">
        <v>29795.9</v>
      </c>
      <c r="C1697">
        <v>30.1906</v>
      </c>
      <c r="E1697">
        <v>626.41999999999996</v>
      </c>
      <c r="G1697">
        <f t="shared" si="53"/>
        <v>0.95418981115103163</v>
      </c>
    </row>
    <row r="1698" spans="1:7" x14ac:dyDescent="0.2">
      <c r="A1698">
        <v>24418.7</v>
      </c>
      <c r="C1698">
        <v>33.224499999999999</v>
      </c>
      <c r="E1698">
        <v>583.41499999999996</v>
      </c>
      <c r="G1698">
        <f t="shared" si="53"/>
        <v>0.90152309035888789</v>
      </c>
    </row>
    <row r="1699" spans="1:7" x14ac:dyDescent="0.2">
      <c r="A1699">
        <v>38687.199999999997</v>
      </c>
      <c r="C1699">
        <v>40.977600000000002</v>
      </c>
      <c r="E1699">
        <v>789.21400000000006</v>
      </c>
      <c r="G1699">
        <f t="shared" si="53"/>
        <v>0.78052574860277091</v>
      </c>
    </row>
    <row r="1700" spans="1:7" x14ac:dyDescent="0.2">
      <c r="A1700">
        <v>32698.7</v>
      </c>
      <c r="C1700">
        <v>48.055999999999997</v>
      </c>
      <c r="E1700">
        <v>805.20799999999997</v>
      </c>
      <c r="G1700">
        <f t="shared" si="53"/>
        <v>0.63375853594314113</v>
      </c>
    </row>
    <row r="1701" spans="1:7" x14ac:dyDescent="0.2">
      <c r="A1701">
        <v>24948.6</v>
      </c>
      <c r="C1701">
        <v>27.431100000000001</v>
      </c>
      <c r="E1701">
        <v>587.50099999999998</v>
      </c>
      <c r="G1701">
        <f t="shared" si="53"/>
        <v>0.90831912161556905</v>
      </c>
    </row>
    <row r="1702" spans="1:7" x14ac:dyDescent="0.2">
      <c r="A1702">
        <v>34314.9</v>
      </c>
      <c r="C1702">
        <v>22.9862</v>
      </c>
      <c r="E1702">
        <v>683.41499999999996</v>
      </c>
      <c r="G1702">
        <f t="shared" si="53"/>
        <v>0.92325830160463029</v>
      </c>
    </row>
    <row r="1703" spans="1:7" x14ac:dyDescent="0.2">
      <c r="A1703">
        <v>31722.6</v>
      </c>
      <c r="C1703">
        <v>25.945599999999999</v>
      </c>
      <c r="E1703">
        <v>639.20899999999995</v>
      </c>
      <c r="G1703">
        <f t="shared" si="53"/>
        <v>0.97564654273457885</v>
      </c>
    </row>
    <row r="1704" spans="1:7" x14ac:dyDescent="0.2">
      <c r="A1704">
        <v>27001.8</v>
      </c>
      <c r="C1704">
        <v>34.391399999999997</v>
      </c>
      <c r="E1704">
        <v>603.60500000000002</v>
      </c>
      <c r="G1704">
        <f t="shared" si="53"/>
        <v>0.93131491042676384</v>
      </c>
    </row>
    <row r="1705" spans="1:7" x14ac:dyDescent="0.2">
      <c r="A1705">
        <v>19976.2</v>
      </c>
      <c r="C1705">
        <v>30.139600000000002</v>
      </c>
      <c r="E1705">
        <v>518.226</v>
      </c>
      <c r="G1705">
        <f t="shared" si="53"/>
        <v>0.93472525773701665</v>
      </c>
    </row>
    <row r="1706" spans="1:7" x14ac:dyDescent="0.2">
      <c r="A1706">
        <v>21483.7</v>
      </c>
      <c r="C1706">
        <v>33.506100000000004</v>
      </c>
      <c r="E1706">
        <v>537.99199999999996</v>
      </c>
      <c r="G1706">
        <f t="shared" si="53"/>
        <v>0.93275361526037504</v>
      </c>
    </row>
    <row r="1707" spans="1:7" x14ac:dyDescent="0.2">
      <c r="A1707">
        <v>35259.1</v>
      </c>
      <c r="C1707">
        <v>30.863199999999999</v>
      </c>
      <c r="E1707">
        <v>676.75400000000002</v>
      </c>
      <c r="G1707">
        <f t="shared" si="53"/>
        <v>0.96742890024170569</v>
      </c>
    </row>
    <row r="1708" spans="1:7" x14ac:dyDescent="0.2">
      <c r="A1708">
        <v>26570</v>
      </c>
      <c r="C1708">
        <v>30.808599999999998</v>
      </c>
      <c r="E1708">
        <v>598.79100000000005</v>
      </c>
      <c r="G1708">
        <f t="shared" si="53"/>
        <v>0.93121620145567574</v>
      </c>
    </row>
    <row r="1709" spans="1:7" x14ac:dyDescent="0.2">
      <c r="A1709">
        <v>36122.300000000003</v>
      </c>
      <c r="C1709">
        <v>27.386299999999999</v>
      </c>
      <c r="E1709">
        <v>731.005</v>
      </c>
      <c r="G1709">
        <f t="shared" si="53"/>
        <v>0.84946247244108364</v>
      </c>
    </row>
    <row r="1710" spans="1:7" x14ac:dyDescent="0.2">
      <c r="A1710">
        <v>41343.800000000003</v>
      </c>
      <c r="C1710">
        <v>29.753699999999998</v>
      </c>
      <c r="E1710">
        <v>801.14</v>
      </c>
      <c r="G1710">
        <f t="shared" si="53"/>
        <v>0.8094742835656209</v>
      </c>
    </row>
    <row r="1711" spans="1:7" x14ac:dyDescent="0.2">
      <c r="A1711">
        <v>34661.800000000003</v>
      </c>
      <c r="C1711">
        <v>29.151</v>
      </c>
      <c r="E1711">
        <v>686.76400000000001</v>
      </c>
      <c r="G1711">
        <f t="shared" si="53"/>
        <v>0.92351842894673497</v>
      </c>
    </row>
    <row r="1712" spans="1:7" x14ac:dyDescent="0.2">
      <c r="A1712">
        <v>31286.7</v>
      </c>
      <c r="C1712">
        <v>40.238799999999998</v>
      </c>
      <c r="E1712">
        <v>696.16800000000001</v>
      </c>
      <c r="G1712">
        <f t="shared" si="53"/>
        <v>0.81122465559134571</v>
      </c>
    </row>
    <row r="1713" spans="1:7" x14ac:dyDescent="0.2">
      <c r="A1713">
        <v>27646.7</v>
      </c>
      <c r="C1713">
        <v>36.4116</v>
      </c>
      <c r="E1713">
        <v>644.35799999999995</v>
      </c>
      <c r="G1713">
        <f t="shared" si="53"/>
        <v>0.83675506024272395</v>
      </c>
    </row>
    <row r="1714" spans="1:7" x14ac:dyDescent="0.2">
      <c r="A1714">
        <v>22765</v>
      </c>
      <c r="C1714">
        <v>34.935400000000001</v>
      </c>
      <c r="E1714">
        <v>555.72400000000005</v>
      </c>
      <c r="G1714">
        <f t="shared" si="53"/>
        <v>0.92631531793081712</v>
      </c>
    </row>
    <row r="1715" spans="1:7" x14ac:dyDescent="0.2">
      <c r="A1715">
        <v>34477.5</v>
      </c>
      <c r="C1715">
        <v>47.9315</v>
      </c>
      <c r="E1715">
        <v>733.09699999999998</v>
      </c>
      <c r="G1715">
        <f t="shared" si="53"/>
        <v>0.80616210540529931</v>
      </c>
    </row>
    <row r="1716" spans="1:7" x14ac:dyDescent="0.2">
      <c r="A1716">
        <v>21882.400000000001</v>
      </c>
      <c r="C1716">
        <v>30.0899</v>
      </c>
      <c r="E1716">
        <v>545.26900000000001</v>
      </c>
      <c r="G1716">
        <f t="shared" si="53"/>
        <v>0.92487456163264214</v>
      </c>
    </row>
    <row r="1717" spans="1:7" x14ac:dyDescent="0.2">
      <c r="A1717">
        <v>22504.400000000001</v>
      </c>
      <c r="C1717">
        <v>32.570099999999996</v>
      </c>
      <c r="E1717">
        <v>549.40700000000004</v>
      </c>
      <c r="G1717">
        <f t="shared" si="53"/>
        <v>0.9368899035096252</v>
      </c>
    </row>
    <row r="1718" spans="1:7" x14ac:dyDescent="0.2">
      <c r="A1718">
        <v>33281.4</v>
      </c>
      <c r="C1718">
        <v>40.376300000000001</v>
      </c>
      <c r="E1718">
        <v>673.92499999999995</v>
      </c>
      <c r="G1718">
        <f t="shared" si="53"/>
        <v>0.92084800046024129</v>
      </c>
    </row>
    <row r="1719" spans="1:7" x14ac:dyDescent="0.2">
      <c r="A1719">
        <v>37300.199999999997</v>
      </c>
      <c r="C1719">
        <v>32.821599999999997</v>
      </c>
      <c r="E1719">
        <v>719.23800000000006</v>
      </c>
      <c r="G1719">
        <f t="shared" si="53"/>
        <v>0.90609849326009029</v>
      </c>
    </row>
    <row r="1720" spans="1:7" x14ac:dyDescent="0.2">
      <c r="A1720">
        <v>33338.6</v>
      </c>
      <c r="C1720">
        <v>39.944899999999997</v>
      </c>
      <c r="E1720">
        <v>675.03599999999994</v>
      </c>
      <c r="G1720">
        <f t="shared" si="53"/>
        <v>0.91939679697147647</v>
      </c>
    </row>
    <row r="1721" spans="1:7" x14ac:dyDescent="0.2">
      <c r="A1721">
        <v>24233.599999999999</v>
      </c>
      <c r="C1721">
        <v>49.6233</v>
      </c>
      <c r="E1721">
        <v>596.34199999999998</v>
      </c>
      <c r="G1721">
        <f t="shared" si="53"/>
        <v>0.85632108423825437</v>
      </c>
    </row>
    <row r="1722" spans="1:7" x14ac:dyDescent="0.2">
      <c r="A1722">
        <v>37046.6</v>
      </c>
      <c r="C1722">
        <v>48.100299999999997</v>
      </c>
      <c r="E1722">
        <v>739.48900000000003</v>
      </c>
      <c r="G1722">
        <f t="shared" si="53"/>
        <v>0.8513230984487874</v>
      </c>
    </row>
    <row r="1723" spans="1:7" x14ac:dyDescent="0.2">
      <c r="A1723">
        <v>30642.6</v>
      </c>
      <c r="C1723">
        <v>28.327400000000001</v>
      </c>
      <c r="E1723">
        <v>659.82100000000003</v>
      </c>
      <c r="G1723">
        <f t="shared" si="53"/>
        <v>0.88446946060804954</v>
      </c>
    </row>
    <row r="1724" spans="1:7" x14ac:dyDescent="0.2">
      <c r="A1724">
        <v>20909.400000000001</v>
      </c>
      <c r="C1724">
        <v>27.819400000000002</v>
      </c>
      <c r="E1724">
        <v>524.51700000000005</v>
      </c>
      <c r="G1724">
        <f t="shared" si="53"/>
        <v>0.95506280300734292</v>
      </c>
    </row>
    <row r="1725" spans="1:7" x14ac:dyDescent="0.2">
      <c r="A1725">
        <v>18414.099999999999</v>
      </c>
      <c r="C1725">
        <v>31.2483</v>
      </c>
      <c r="E1725">
        <v>508.83499999999998</v>
      </c>
      <c r="G1725">
        <f t="shared" si="53"/>
        <v>0.89372939378221816</v>
      </c>
    </row>
    <row r="1726" spans="1:7" x14ac:dyDescent="0.2">
      <c r="A1726">
        <v>26728.400000000001</v>
      </c>
      <c r="C1726">
        <v>29.3751</v>
      </c>
      <c r="E1726">
        <v>589.03099999999995</v>
      </c>
      <c r="G1726">
        <f t="shared" si="53"/>
        <v>0.96806864895109745</v>
      </c>
    </row>
    <row r="1727" spans="1:7" x14ac:dyDescent="0.2">
      <c r="A1727">
        <v>23442</v>
      </c>
      <c r="C1727">
        <v>47.459099999999999</v>
      </c>
      <c r="E1727">
        <v>601.95100000000002</v>
      </c>
      <c r="G1727">
        <f t="shared" si="53"/>
        <v>0.81298377489986295</v>
      </c>
    </row>
    <row r="1728" spans="1:7" x14ac:dyDescent="0.2">
      <c r="A1728">
        <v>19978.099999999999</v>
      </c>
      <c r="C1728">
        <v>21.674099999999999</v>
      </c>
      <c r="E1728">
        <v>505.64699999999999</v>
      </c>
      <c r="G1728">
        <f t="shared" si="53"/>
        <v>0.98190350435981533</v>
      </c>
    </row>
    <row r="1729" spans="1:7" x14ac:dyDescent="0.2">
      <c r="A1729">
        <v>28732.9</v>
      </c>
      <c r="C1729">
        <v>27.856999999999999</v>
      </c>
      <c r="E1729">
        <v>610.46400000000006</v>
      </c>
      <c r="G1729">
        <f t="shared" si="53"/>
        <v>0.96887743754023214</v>
      </c>
    </row>
    <row r="1730" spans="1:7" x14ac:dyDescent="0.2">
      <c r="A1730">
        <v>18810.099999999999</v>
      </c>
      <c r="C1730">
        <v>26.3398</v>
      </c>
      <c r="E1730">
        <v>503.22699999999998</v>
      </c>
      <c r="G1730">
        <f t="shared" si="53"/>
        <v>0.93341060841679735</v>
      </c>
    </row>
    <row r="1731" spans="1:7" x14ac:dyDescent="0.2">
      <c r="A1731">
        <v>42678.6</v>
      </c>
      <c r="C1731">
        <v>37.4099</v>
      </c>
      <c r="E1731">
        <v>761.98599999999999</v>
      </c>
      <c r="G1731">
        <f t="shared" ref="G1731:G1794" si="54" xml:space="preserve"> 3.14159*4*A1731/(E1731*E1731)</f>
        <v>0.92368879991731934</v>
      </c>
    </row>
    <row r="1732" spans="1:7" x14ac:dyDescent="0.2">
      <c r="A1732">
        <v>33063</v>
      </c>
      <c r="C1732">
        <v>26.485199999999999</v>
      </c>
      <c r="E1732">
        <v>675.53700000000003</v>
      </c>
      <c r="G1732">
        <f t="shared" si="54"/>
        <v>0.91044449141723893</v>
      </c>
    </row>
    <row r="1733" spans="1:7" x14ac:dyDescent="0.2">
      <c r="A1733">
        <v>37859.800000000003</v>
      </c>
      <c r="C1733">
        <v>35.991500000000002</v>
      </c>
      <c r="E1733">
        <v>741.077</v>
      </c>
      <c r="G1733">
        <f t="shared" si="54"/>
        <v>0.8662856953089938</v>
      </c>
    </row>
    <row r="1734" spans="1:7" x14ac:dyDescent="0.2">
      <c r="A1734">
        <v>29471.4</v>
      </c>
      <c r="C1734">
        <v>31.078700000000001</v>
      </c>
      <c r="E1734">
        <v>640.44299999999998</v>
      </c>
      <c r="G1734">
        <f t="shared" si="54"/>
        <v>0.9029200515644622</v>
      </c>
    </row>
    <row r="1735" spans="1:7" x14ac:dyDescent="0.2">
      <c r="A1735">
        <v>31641.9</v>
      </c>
      <c r="C1735">
        <v>57.096499999999999</v>
      </c>
      <c r="E1735">
        <v>688.00099999999998</v>
      </c>
      <c r="G1735">
        <f t="shared" si="54"/>
        <v>0.84002828937143781</v>
      </c>
    </row>
    <row r="1736" spans="1:7" x14ac:dyDescent="0.2">
      <c r="A1736">
        <v>33786.199999999997</v>
      </c>
      <c r="C1736">
        <v>39.914099999999998</v>
      </c>
      <c r="E1736">
        <v>677.77599999999995</v>
      </c>
      <c r="G1736">
        <f t="shared" si="54"/>
        <v>0.92422236330988217</v>
      </c>
    </row>
    <row r="1737" spans="1:7" x14ac:dyDescent="0.2">
      <c r="A1737">
        <v>24023.7</v>
      </c>
      <c r="C1737">
        <v>29.964300000000001</v>
      </c>
      <c r="E1737">
        <v>572.90300000000002</v>
      </c>
      <c r="G1737">
        <f t="shared" si="54"/>
        <v>0.91978685837826213</v>
      </c>
    </row>
    <row r="1738" spans="1:7" x14ac:dyDescent="0.2">
      <c r="A1738">
        <v>36766.199999999997</v>
      </c>
      <c r="C1738">
        <v>47.885899999999999</v>
      </c>
      <c r="E1738">
        <v>738.45799999999997</v>
      </c>
      <c r="G1738">
        <f t="shared" si="54"/>
        <v>0.84724037360365889</v>
      </c>
    </row>
    <row r="1739" spans="1:7" x14ac:dyDescent="0.2">
      <c r="A1739">
        <v>26734.2</v>
      </c>
      <c r="C1739">
        <v>30.8858</v>
      </c>
      <c r="E1739">
        <v>596.03</v>
      </c>
      <c r="G1739">
        <f t="shared" si="54"/>
        <v>0.94567182625891955</v>
      </c>
    </row>
    <row r="1740" spans="1:7" x14ac:dyDescent="0.2">
      <c r="A1740">
        <v>37703.699999999997</v>
      </c>
      <c r="C1740">
        <v>40.757100000000001</v>
      </c>
      <c r="E1740">
        <v>741.41</v>
      </c>
      <c r="G1740">
        <f t="shared" si="54"/>
        <v>0.861939114984834</v>
      </c>
    </row>
    <row r="1741" spans="1:7" x14ac:dyDescent="0.2">
      <c r="A1741">
        <v>21840.2</v>
      </c>
      <c r="C1741">
        <v>32.879300000000001</v>
      </c>
      <c r="E1741">
        <v>566.41999999999996</v>
      </c>
      <c r="G1741">
        <f t="shared" si="54"/>
        <v>0.85543880853009369</v>
      </c>
    </row>
    <row r="1742" spans="1:7" x14ac:dyDescent="0.2">
      <c r="A1742">
        <v>23560.5</v>
      </c>
      <c r="C1742">
        <v>34.619</v>
      </c>
      <c r="E1742">
        <v>577.45899999999995</v>
      </c>
      <c r="G1742">
        <f t="shared" si="54"/>
        <v>0.88787472077325336</v>
      </c>
    </row>
    <row r="1743" spans="1:7" x14ac:dyDescent="0.2">
      <c r="A1743">
        <v>18759.900000000001</v>
      </c>
      <c r="C1743">
        <v>24.782299999999999</v>
      </c>
      <c r="E1743">
        <v>497.02</v>
      </c>
      <c r="G1743">
        <f t="shared" si="54"/>
        <v>0.9543161778585304</v>
      </c>
    </row>
    <row r="1744" spans="1:7" x14ac:dyDescent="0.2">
      <c r="A1744">
        <v>32755</v>
      </c>
      <c r="C1744">
        <v>26.648900000000001</v>
      </c>
      <c r="E1744">
        <v>651.37900000000002</v>
      </c>
      <c r="G1744">
        <f t="shared" si="54"/>
        <v>0.97010690262863242</v>
      </c>
    </row>
    <row r="1745" spans="1:7" x14ac:dyDescent="0.2">
      <c r="A1745">
        <v>42113.4</v>
      </c>
      <c r="C1745">
        <v>46.1982</v>
      </c>
      <c r="E1745">
        <v>803.06899999999996</v>
      </c>
      <c r="G1745">
        <f t="shared" si="54"/>
        <v>0.82058595476365737</v>
      </c>
    </row>
    <row r="1746" spans="1:7" x14ac:dyDescent="0.2">
      <c r="A1746">
        <v>36161.199999999997</v>
      </c>
      <c r="C1746">
        <v>29.908100000000001</v>
      </c>
      <c r="E1746">
        <v>683.90800000000002</v>
      </c>
      <c r="G1746">
        <f t="shared" si="54"/>
        <v>0.97153167235027693</v>
      </c>
    </row>
    <row r="1747" spans="1:7" x14ac:dyDescent="0.2">
      <c r="A1747">
        <v>35099.9</v>
      </c>
      <c r="C1747">
        <v>26.005700000000001</v>
      </c>
      <c r="E1747">
        <v>671.39</v>
      </c>
      <c r="G1747">
        <f t="shared" si="54"/>
        <v>0.97851083648735027</v>
      </c>
    </row>
    <row r="1748" spans="1:7" x14ac:dyDescent="0.2">
      <c r="A1748">
        <v>34715.199999999997</v>
      </c>
      <c r="C1748">
        <v>28.822299999999998</v>
      </c>
      <c r="E1748">
        <v>683.80100000000004</v>
      </c>
      <c r="G1748">
        <f t="shared" si="54"/>
        <v>0.93297435364625936</v>
      </c>
    </row>
    <row r="1749" spans="1:7" x14ac:dyDescent="0.2">
      <c r="A1749">
        <v>36886.9</v>
      </c>
      <c r="C1749">
        <v>31.652200000000001</v>
      </c>
      <c r="E1749">
        <v>702.57399999999996</v>
      </c>
      <c r="G1749">
        <f t="shared" si="54"/>
        <v>0.93906900781280045</v>
      </c>
    </row>
    <row r="1750" spans="1:7" x14ac:dyDescent="0.2">
      <c r="A1750">
        <v>24471.5</v>
      </c>
      <c r="C1750">
        <v>24.42</v>
      </c>
      <c r="E1750">
        <v>562.524</v>
      </c>
      <c r="G1750">
        <f t="shared" si="54"/>
        <v>0.97182479458220306</v>
      </c>
    </row>
    <row r="1751" spans="1:7" x14ac:dyDescent="0.2">
      <c r="A1751">
        <v>29124.2</v>
      </c>
      <c r="C1751">
        <v>28.846599999999999</v>
      </c>
      <c r="E1751">
        <v>617.47699999999998</v>
      </c>
      <c r="G1751">
        <f t="shared" si="54"/>
        <v>0.95989102488820888</v>
      </c>
    </row>
    <row r="1752" spans="1:7" x14ac:dyDescent="0.2">
      <c r="A1752">
        <v>30620.2</v>
      </c>
      <c r="C1752">
        <v>29.113299999999999</v>
      </c>
      <c r="E1752">
        <v>640.47699999999998</v>
      </c>
      <c r="G1752">
        <f t="shared" si="54"/>
        <v>0.93801642514044692</v>
      </c>
    </row>
    <row r="1753" spans="1:7" x14ac:dyDescent="0.2">
      <c r="A1753">
        <v>36044.9</v>
      </c>
      <c r="C1753">
        <v>28.200800000000001</v>
      </c>
      <c r="E1753">
        <v>690.45699999999999</v>
      </c>
      <c r="G1753">
        <f t="shared" si="54"/>
        <v>0.9501234746086239</v>
      </c>
    </row>
    <row r="1754" spans="1:7" x14ac:dyDescent="0.2">
      <c r="A1754">
        <v>43700.6</v>
      </c>
      <c r="C1754">
        <v>51.688899999999997</v>
      </c>
      <c r="E1754">
        <v>790.18399999999997</v>
      </c>
      <c r="G1754">
        <f t="shared" si="54"/>
        <v>0.8795092951402822</v>
      </c>
    </row>
    <row r="1755" spans="1:7" x14ac:dyDescent="0.2">
      <c r="A1755">
        <v>36139.300000000003</v>
      </c>
      <c r="C1755">
        <v>34.102499999999999</v>
      </c>
      <c r="E1755">
        <v>694.96199999999999</v>
      </c>
      <c r="G1755">
        <f t="shared" si="54"/>
        <v>0.94030147365880312</v>
      </c>
    </row>
    <row r="1756" spans="1:7" x14ac:dyDescent="0.2">
      <c r="A1756">
        <v>38209.9</v>
      </c>
      <c r="C1756">
        <v>45.257399999999997</v>
      </c>
      <c r="E1756">
        <v>731.52200000000005</v>
      </c>
      <c r="G1756">
        <f t="shared" si="54"/>
        <v>0.89728542788824128</v>
      </c>
    </row>
    <row r="1757" spans="1:7" x14ac:dyDescent="0.2">
      <c r="A1757">
        <v>35618.800000000003</v>
      </c>
      <c r="C1757">
        <v>47.671900000000001</v>
      </c>
      <c r="E1757">
        <v>693.81500000000005</v>
      </c>
      <c r="G1757">
        <f t="shared" si="54"/>
        <v>0.9298254123738976</v>
      </c>
    </row>
    <row r="1758" spans="1:7" x14ac:dyDescent="0.2">
      <c r="A1758">
        <v>38318.5</v>
      </c>
      <c r="C1758">
        <v>43.625300000000003</v>
      </c>
      <c r="E1758">
        <v>730.37800000000004</v>
      </c>
      <c r="G1758">
        <f t="shared" si="54"/>
        <v>0.90265674325638101</v>
      </c>
    </row>
    <row r="1759" spans="1:7" x14ac:dyDescent="0.2">
      <c r="A1759">
        <v>8879.26</v>
      </c>
      <c r="C1759">
        <v>287.976</v>
      </c>
      <c r="E1759">
        <v>952.00199999999995</v>
      </c>
      <c r="G1759">
        <f t="shared" si="54"/>
        <v>0.12311488073719382</v>
      </c>
    </row>
    <row r="1760" spans="1:7" x14ac:dyDescent="0.2">
      <c r="A1760">
        <v>44796.7</v>
      </c>
      <c r="C1760">
        <v>44.915599999999998</v>
      </c>
      <c r="E1760">
        <v>809.19500000000005</v>
      </c>
      <c r="G1760">
        <f t="shared" si="54"/>
        <v>0.85970437796276722</v>
      </c>
    </row>
    <row r="1761" spans="1:7" x14ac:dyDescent="0.2">
      <c r="A1761">
        <v>26984</v>
      </c>
      <c r="C1761">
        <v>31.096800000000002</v>
      </c>
      <c r="E1761">
        <v>598.529</v>
      </c>
      <c r="G1761">
        <f t="shared" si="54"/>
        <v>0.94655407583931528</v>
      </c>
    </row>
    <row r="1762" spans="1:7" x14ac:dyDescent="0.2">
      <c r="A1762">
        <v>25212.6</v>
      </c>
      <c r="C1762">
        <v>31.606300000000001</v>
      </c>
      <c r="E1762">
        <v>578.64599999999996</v>
      </c>
      <c r="G1762">
        <f t="shared" si="54"/>
        <v>0.94623982012628161</v>
      </c>
    </row>
    <row r="1763" spans="1:7" x14ac:dyDescent="0.2">
      <c r="A1763">
        <v>22153.1</v>
      </c>
      <c r="C1763">
        <v>302.00200000000001</v>
      </c>
      <c r="E1763">
        <v>1613.38</v>
      </c>
      <c r="G1763">
        <f t="shared" si="54"/>
        <v>0.10694750743143215</v>
      </c>
    </row>
    <row r="1764" spans="1:7" x14ac:dyDescent="0.2">
      <c r="A1764">
        <v>34232.9</v>
      </c>
      <c r="C1764">
        <v>39.7744</v>
      </c>
      <c r="E1764">
        <v>675.17200000000003</v>
      </c>
      <c r="G1764">
        <f t="shared" si="54"/>
        <v>0.94367911119139314</v>
      </c>
    </row>
    <row r="1765" spans="1:7" x14ac:dyDescent="0.2">
      <c r="A1765">
        <v>34700.1</v>
      </c>
      <c r="C1765">
        <v>50.964399999999998</v>
      </c>
      <c r="E1765">
        <v>809.47199999999998</v>
      </c>
      <c r="G1765">
        <f t="shared" si="54"/>
        <v>0.66548238091678236</v>
      </c>
    </row>
    <row r="1766" spans="1:7" x14ac:dyDescent="0.2">
      <c r="A1766">
        <v>29433</v>
      </c>
      <c r="C1766">
        <v>32.620800000000003</v>
      </c>
      <c r="E1766">
        <v>635.25099999999998</v>
      </c>
      <c r="G1766">
        <f t="shared" si="54"/>
        <v>0.91654398762447054</v>
      </c>
    </row>
    <row r="1767" spans="1:7" x14ac:dyDescent="0.2">
      <c r="A1767">
        <v>31754.799999999999</v>
      </c>
      <c r="C1767">
        <v>37.246099999999998</v>
      </c>
      <c r="E1767">
        <v>693.99599999999998</v>
      </c>
      <c r="G1767">
        <f t="shared" si="54"/>
        <v>0.82852371599800434</v>
      </c>
    </row>
    <row r="1768" spans="1:7" x14ac:dyDescent="0.2">
      <c r="A1768">
        <v>30785.5</v>
      </c>
      <c r="C1768">
        <v>32.4634</v>
      </c>
      <c r="E1768">
        <v>648.81700000000001</v>
      </c>
      <c r="G1768">
        <f t="shared" si="54"/>
        <v>0.91899102000435762</v>
      </c>
    </row>
    <row r="1769" spans="1:7" x14ac:dyDescent="0.2">
      <c r="A1769">
        <v>34655.199999999997</v>
      </c>
      <c r="C1769">
        <v>40.7348</v>
      </c>
      <c r="E1769">
        <v>683.37699999999995</v>
      </c>
      <c r="G1769">
        <f t="shared" si="54"/>
        <v>0.93251792986672899</v>
      </c>
    </row>
    <row r="1770" spans="1:7" x14ac:dyDescent="0.2">
      <c r="A1770">
        <v>29072.6</v>
      </c>
      <c r="C1770">
        <v>31.912600000000001</v>
      </c>
      <c r="E1770">
        <v>618.50599999999997</v>
      </c>
      <c r="G1770">
        <f t="shared" si="54"/>
        <v>0.95500476001354362</v>
      </c>
    </row>
    <row r="1771" spans="1:7" x14ac:dyDescent="0.2">
      <c r="A1771">
        <v>10582.8</v>
      </c>
      <c r="C1771">
        <v>537.04200000000003</v>
      </c>
      <c r="E1771">
        <v>1629.33</v>
      </c>
      <c r="G1771">
        <f t="shared" si="54"/>
        <v>5.009472280252332E-2</v>
      </c>
    </row>
    <row r="1772" spans="1:7" x14ac:dyDescent="0.2">
      <c r="A1772">
        <v>34529.199999999997</v>
      </c>
      <c r="C1772">
        <v>50.930199999999999</v>
      </c>
      <c r="E1772">
        <v>714.86400000000003</v>
      </c>
      <c r="G1772">
        <f t="shared" si="54"/>
        <v>0.84908107251088727</v>
      </c>
    </row>
    <row r="1773" spans="1:7" x14ac:dyDescent="0.2">
      <c r="A1773">
        <v>32966.800000000003</v>
      </c>
      <c r="C1773">
        <v>35.281599999999997</v>
      </c>
      <c r="E1773">
        <v>675.06200000000001</v>
      </c>
      <c r="G1773">
        <f t="shared" si="54"/>
        <v>0.90907343518682382</v>
      </c>
    </row>
    <row r="1774" spans="1:7" x14ac:dyDescent="0.2">
      <c r="A1774">
        <v>26217.200000000001</v>
      </c>
      <c r="C1774">
        <v>431.86200000000002</v>
      </c>
      <c r="E1774">
        <v>1080.73</v>
      </c>
      <c r="G1774">
        <f t="shared" si="54"/>
        <v>0.28207291709505056</v>
      </c>
    </row>
    <row r="1775" spans="1:7" x14ac:dyDescent="0.2">
      <c r="A1775">
        <v>33730.300000000003</v>
      </c>
      <c r="C1775">
        <v>37.460900000000002</v>
      </c>
      <c r="E1775">
        <v>676.53099999999995</v>
      </c>
      <c r="G1775">
        <f t="shared" si="54"/>
        <v>0.92609235227510378</v>
      </c>
    </row>
    <row r="1776" spans="1:7" x14ac:dyDescent="0.2">
      <c r="A1776">
        <v>37994.199999999997</v>
      </c>
      <c r="C1776">
        <v>34.698099999999997</v>
      </c>
      <c r="E1776">
        <v>723.83900000000006</v>
      </c>
      <c r="G1776">
        <f t="shared" si="54"/>
        <v>0.91126112598627018</v>
      </c>
    </row>
    <row r="1777" spans="1:7" x14ac:dyDescent="0.2">
      <c r="A1777">
        <v>2630.84</v>
      </c>
      <c r="C1777">
        <v>130.26499999999999</v>
      </c>
      <c r="E1777">
        <v>1176.07</v>
      </c>
      <c r="G1777">
        <f t="shared" si="54"/>
        <v>2.3902184253135169E-2</v>
      </c>
    </row>
    <row r="1778" spans="1:7" x14ac:dyDescent="0.2">
      <c r="A1778">
        <v>36110.5</v>
      </c>
      <c r="C1778">
        <v>25.137799999999999</v>
      </c>
      <c r="E1778">
        <v>686.58500000000004</v>
      </c>
      <c r="G1778">
        <f t="shared" si="54"/>
        <v>0.96261888366952042</v>
      </c>
    </row>
    <row r="1779" spans="1:7" x14ac:dyDescent="0.2">
      <c r="A1779">
        <v>2685.99</v>
      </c>
      <c r="C1779">
        <v>258.99299999999999</v>
      </c>
      <c r="E1779">
        <v>1205.3900000000001</v>
      </c>
      <c r="G1779">
        <f t="shared" si="54"/>
        <v>2.3230508708806118E-2</v>
      </c>
    </row>
    <row r="1780" spans="1:7" x14ac:dyDescent="0.2">
      <c r="A1780">
        <v>2463.6999999999998</v>
      </c>
      <c r="C1780">
        <v>114.188</v>
      </c>
      <c r="E1780">
        <v>810.27200000000005</v>
      </c>
      <c r="G1780">
        <f t="shared" si="54"/>
        <v>4.7155858688688254E-2</v>
      </c>
    </row>
    <row r="1781" spans="1:7" x14ac:dyDescent="0.2">
      <c r="A1781">
        <v>39256.300000000003</v>
      </c>
      <c r="C1781">
        <v>45.048999999999999</v>
      </c>
      <c r="E1781">
        <v>753.69</v>
      </c>
      <c r="G1781">
        <f t="shared" si="54"/>
        <v>0.86842707487761439</v>
      </c>
    </row>
    <row r="1782" spans="1:7" x14ac:dyDescent="0.2">
      <c r="A1782">
        <v>29938</v>
      </c>
      <c r="C1782">
        <v>39.233400000000003</v>
      </c>
      <c r="E1782">
        <v>638.03</v>
      </c>
      <c r="G1782">
        <f t="shared" si="54"/>
        <v>0.92416620258747306</v>
      </c>
    </row>
    <row r="1783" spans="1:7" x14ac:dyDescent="0.2">
      <c r="A1783">
        <v>36230.400000000001</v>
      </c>
      <c r="C1783">
        <v>31.510400000000001</v>
      </c>
      <c r="E1783">
        <v>696.05100000000004</v>
      </c>
      <c r="G1783">
        <f t="shared" si="54"/>
        <v>0.93972439800773189</v>
      </c>
    </row>
    <row r="1784" spans="1:7" x14ac:dyDescent="0.2">
      <c r="A1784">
        <v>31084.5</v>
      </c>
      <c r="C1784">
        <v>43.032600000000002</v>
      </c>
      <c r="E1784">
        <v>666.65099999999995</v>
      </c>
      <c r="G1784">
        <f t="shared" si="54"/>
        <v>0.87893409861224359</v>
      </c>
    </row>
    <row r="1785" spans="1:7" x14ac:dyDescent="0.2">
      <c r="A1785">
        <v>2211.73</v>
      </c>
      <c r="C1785">
        <v>95.269199999999998</v>
      </c>
      <c r="E1785">
        <v>1228.8800000000001</v>
      </c>
      <c r="G1785">
        <f t="shared" si="54"/>
        <v>1.8404441955677368E-2</v>
      </c>
    </row>
    <row r="1786" spans="1:7" x14ac:dyDescent="0.2">
      <c r="A1786">
        <v>38472.5</v>
      </c>
      <c r="C1786">
        <v>36.591900000000003</v>
      </c>
      <c r="E1786">
        <v>712.53300000000002</v>
      </c>
      <c r="G1786">
        <f t="shared" si="54"/>
        <v>0.9522477160758952</v>
      </c>
    </row>
    <row r="1787" spans="1:7" x14ac:dyDescent="0.2">
      <c r="A1787">
        <v>37642.9</v>
      </c>
      <c r="C1787">
        <v>39.724600000000002</v>
      </c>
      <c r="E1787">
        <v>726.57299999999998</v>
      </c>
      <c r="G1787">
        <f t="shared" si="54"/>
        <v>0.89605374843302965</v>
      </c>
    </row>
    <row r="1788" spans="1:7" x14ac:dyDescent="0.2">
      <c r="A1788">
        <v>32987.800000000003</v>
      </c>
      <c r="C1788">
        <v>29.4969</v>
      </c>
      <c r="E1788">
        <v>661.55399999999997</v>
      </c>
      <c r="G1788">
        <f t="shared" si="54"/>
        <v>0.94717941427996655</v>
      </c>
    </row>
    <row r="1789" spans="1:7" x14ac:dyDescent="0.2">
      <c r="A1789">
        <v>38179.4</v>
      </c>
      <c r="C1789">
        <v>52.733899999999998</v>
      </c>
      <c r="E1789">
        <v>774.75099999999998</v>
      </c>
      <c r="G1789">
        <f t="shared" si="54"/>
        <v>0.79930826797438137</v>
      </c>
    </row>
    <row r="1790" spans="1:7" x14ac:dyDescent="0.2">
      <c r="A1790">
        <v>33607.1</v>
      </c>
      <c r="C1790">
        <v>36.583199999999998</v>
      </c>
      <c r="E1790">
        <v>678.06299999999999</v>
      </c>
      <c r="G1790">
        <f t="shared" si="54"/>
        <v>0.91854500928298966</v>
      </c>
    </row>
    <row r="1791" spans="1:7" x14ac:dyDescent="0.2">
      <c r="A1791">
        <v>31244.799999999999</v>
      </c>
      <c r="C1791">
        <v>37.011400000000002</v>
      </c>
      <c r="E1791">
        <v>666.73500000000001</v>
      </c>
      <c r="G1791">
        <f t="shared" si="54"/>
        <v>0.88324408677062882</v>
      </c>
    </row>
    <row r="1792" spans="1:7" x14ac:dyDescent="0.2">
      <c r="A1792">
        <v>39056</v>
      </c>
      <c r="C1792">
        <v>44.1233</v>
      </c>
      <c r="E1792">
        <v>723.98199999999997</v>
      </c>
      <c r="G1792">
        <f t="shared" si="54"/>
        <v>0.93635756135362802</v>
      </c>
    </row>
    <row r="1793" spans="1:7" x14ac:dyDescent="0.2">
      <c r="A1793">
        <v>31767.4</v>
      </c>
      <c r="C1793">
        <v>36.650300000000001</v>
      </c>
      <c r="E1793">
        <v>650.35299999999995</v>
      </c>
      <c r="G1793">
        <f t="shared" si="54"/>
        <v>0.94382803401118309</v>
      </c>
    </row>
    <row r="1794" spans="1:7" x14ac:dyDescent="0.2">
      <c r="A1794">
        <v>31796.799999999999</v>
      </c>
      <c r="C1794">
        <v>36.688000000000002</v>
      </c>
      <c r="E1794">
        <v>661.72199999999998</v>
      </c>
      <c r="G1794">
        <f t="shared" si="54"/>
        <v>0.91251868297474925</v>
      </c>
    </row>
    <row r="1795" spans="1:7" x14ac:dyDescent="0.2">
      <c r="A1795">
        <v>37545.1</v>
      </c>
      <c r="C1795">
        <v>28.786100000000001</v>
      </c>
      <c r="E1795">
        <v>714.05799999999999</v>
      </c>
      <c r="G1795">
        <f t="shared" ref="G1795:G1858" si="55" xml:space="preserve"> 3.14159*4*A1795/(E1795*E1795)</f>
        <v>0.92532817115620403</v>
      </c>
    </row>
    <row r="1796" spans="1:7" x14ac:dyDescent="0.2">
      <c r="A1796">
        <v>27386.7</v>
      </c>
      <c r="C1796">
        <v>37.717100000000002</v>
      </c>
      <c r="E1796">
        <v>606.01900000000001</v>
      </c>
      <c r="G1796">
        <f t="shared" si="55"/>
        <v>0.93708011195224872</v>
      </c>
    </row>
    <row r="1797" spans="1:7" x14ac:dyDescent="0.2">
      <c r="A1797">
        <v>27635.5</v>
      </c>
      <c r="C1797">
        <v>33.8367</v>
      </c>
      <c r="E1797">
        <v>603.20600000000002</v>
      </c>
      <c r="G1797">
        <f t="shared" si="55"/>
        <v>0.95443315683034313</v>
      </c>
    </row>
    <row r="1798" spans="1:7" x14ac:dyDescent="0.2">
      <c r="A1798">
        <v>24916.2</v>
      </c>
      <c r="C1798">
        <v>37.138100000000001</v>
      </c>
      <c r="E1798">
        <v>573.42899999999997</v>
      </c>
      <c r="G1798">
        <f t="shared" si="55"/>
        <v>0.95220838174838274</v>
      </c>
    </row>
    <row r="1799" spans="1:7" x14ac:dyDescent="0.2">
      <c r="A1799">
        <v>36265.199999999997</v>
      </c>
      <c r="C1799">
        <v>42.635100000000001</v>
      </c>
      <c r="E1799">
        <v>703.14099999999996</v>
      </c>
      <c r="G1799">
        <f t="shared" si="55"/>
        <v>0.92175336027866672</v>
      </c>
    </row>
    <row r="1800" spans="1:7" x14ac:dyDescent="0.2">
      <c r="A1800">
        <v>30576.1</v>
      </c>
      <c r="C1800">
        <v>28.285499999999999</v>
      </c>
      <c r="E1800">
        <v>634.697</v>
      </c>
      <c r="G1800">
        <f t="shared" si="55"/>
        <v>0.95380302652597271</v>
      </c>
    </row>
    <row r="1801" spans="1:7" x14ac:dyDescent="0.2">
      <c r="A1801">
        <v>33091.9</v>
      </c>
      <c r="C1801">
        <v>51.968000000000004</v>
      </c>
      <c r="E1801">
        <v>774.05899999999997</v>
      </c>
      <c r="G1801">
        <f t="shared" si="55"/>
        <v>0.69403771510702927</v>
      </c>
    </row>
    <row r="1802" spans="1:7" x14ac:dyDescent="0.2">
      <c r="A1802">
        <v>30898.9</v>
      </c>
      <c r="C1802">
        <v>28.618200000000002</v>
      </c>
      <c r="E1802">
        <v>635.11400000000003</v>
      </c>
      <c r="G1802">
        <f t="shared" si="55"/>
        <v>0.96260728429867937</v>
      </c>
    </row>
    <row r="1803" spans="1:7" x14ac:dyDescent="0.2">
      <c r="A1803">
        <v>1104.27</v>
      </c>
      <c r="C1803">
        <v>74.106700000000004</v>
      </c>
      <c r="E1803">
        <v>160.608</v>
      </c>
      <c r="G1803">
        <f t="shared" si="55"/>
        <v>0.53796054255447645</v>
      </c>
    </row>
    <row r="1804" spans="1:7" x14ac:dyDescent="0.2">
      <c r="A1804">
        <v>28689</v>
      </c>
      <c r="C1804">
        <v>31.684000000000001</v>
      </c>
      <c r="E1804">
        <v>619.93200000000002</v>
      </c>
      <c r="G1804">
        <f t="shared" si="55"/>
        <v>0.93807335079939691</v>
      </c>
    </row>
    <row r="1805" spans="1:7" x14ac:dyDescent="0.2">
      <c r="A1805">
        <v>36592.800000000003</v>
      </c>
      <c r="C1805">
        <v>34.756</v>
      </c>
      <c r="E1805">
        <v>713.98099999999999</v>
      </c>
      <c r="G1805">
        <f t="shared" si="55"/>
        <v>0.90205253154525533</v>
      </c>
    </row>
    <row r="1806" spans="1:7" x14ac:dyDescent="0.2">
      <c r="A1806">
        <v>6204.53</v>
      </c>
      <c r="C1806">
        <v>150.739</v>
      </c>
      <c r="E1806">
        <v>1195.1199999999999</v>
      </c>
      <c r="G1806">
        <f t="shared" si="55"/>
        <v>5.4587770558736627E-2</v>
      </c>
    </row>
    <row r="1807" spans="1:7" x14ac:dyDescent="0.2">
      <c r="A1807">
        <v>27554.9</v>
      </c>
      <c r="C1807">
        <v>257.755</v>
      </c>
      <c r="E1807">
        <v>1476</v>
      </c>
      <c r="G1807">
        <f t="shared" si="55"/>
        <v>0.15894088301899958</v>
      </c>
    </row>
    <row r="1808" spans="1:7" x14ac:dyDescent="0.2">
      <c r="A1808">
        <v>25355.200000000001</v>
      </c>
      <c r="C1808">
        <v>32.036999999999999</v>
      </c>
      <c r="E1808">
        <v>589.98699999999997</v>
      </c>
      <c r="G1808">
        <f t="shared" si="55"/>
        <v>0.91535941548617594</v>
      </c>
    </row>
    <row r="1809" spans="1:7" x14ac:dyDescent="0.2">
      <c r="A1809">
        <v>31433.9</v>
      </c>
      <c r="C1809">
        <v>37.761499999999998</v>
      </c>
      <c r="E1809">
        <v>659.98</v>
      </c>
      <c r="G1809">
        <f t="shared" si="55"/>
        <v>0.90687246252126164</v>
      </c>
    </row>
    <row r="1810" spans="1:7" x14ac:dyDescent="0.2">
      <c r="A1810">
        <v>33412.6</v>
      </c>
      <c r="C1810">
        <v>36.271500000000003</v>
      </c>
      <c r="E1810">
        <v>691.79</v>
      </c>
      <c r="G1810">
        <f t="shared" si="55"/>
        <v>0.87734662339962655</v>
      </c>
    </row>
    <row r="1811" spans="1:7" x14ac:dyDescent="0.2">
      <c r="A1811">
        <v>48274.5</v>
      </c>
      <c r="C1811">
        <v>55.698300000000003</v>
      </c>
      <c r="E1811">
        <v>836.21600000000001</v>
      </c>
      <c r="G1811">
        <f t="shared" si="55"/>
        <v>0.86754165275091333</v>
      </c>
    </row>
    <row r="1812" spans="1:7" x14ac:dyDescent="0.2">
      <c r="A1812">
        <v>2583.6799999999998</v>
      </c>
      <c r="C1812">
        <v>68.255200000000002</v>
      </c>
      <c r="E1812">
        <v>776.673</v>
      </c>
      <c r="G1812">
        <f t="shared" si="55"/>
        <v>5.3823483853544796E-2</v>
      </c>
    </row>
    <row r="1813" spans="1:7" x14ac:dyDescent="0.2">
      <c r="A1813">
        <v>2373.2800000000002</v>
      </c>
      <c r="C1813">
        <v>68.880499999999998</v>
      </c>
      <c r="E1813">
        <v>1022.31</v>
      </c>
      <c r="G1813">
        <f t="shared" si="55"/>
        <v>2.8536010662387614E-2</v>
      </c>
    </row>
    <row r="1814" spans="1:7" x14ac:dyDescent="0.2">
      <c r="A1814">
        <v>3703.31</v>
      </c>
      <c r="C1814">
        <v>146.54300000000001</v>
      </c>
      <c r="E1814">
        <v>1361.98</v>
      </c>
      <c r="G1814">
        <f t="shared" si="55"/>
        <v>2.5087541541240072E-2</v>
      </c>
    </row>
    <row r="1815" spans="1:7" x14ac:dyDescent="0.2">
      <c r="A1815">
        <v>29405.3</v>
      </c>
      <c r="C1815">
        <v>36.284700000000001</v>
      </c>
      <c r="E1815">
        <v>627.59299999999996</v>
      </c>
      <c r="G1815">
        <f t="shared" si="55"/>
        <v>0.93816435863735026</v>
      </c>
    </row>
    <row r="1816" spans="1:7" x14ac:dyDescent="0.2">
      <c r="A1816">
        <v>42113.3</v>
      </c>
      <c r="C1816">
        <v>49.850200000000001</v>
      </c>
      <c r="E1816">
        <v>780.70399999999995</v>
      </c>
      <c r="G1816">
        <f t="shared" si="55"/>
        <v>0.86827233210442067</v>
      </c>
    </row>
    <row r="1817" spans="1:7" x14ac:dyDescent="0.2">
      <c r="A1817">
        <v>34033.9</v>
      </c>
      <c r="C1817">
        <v>32.151899999999998</v>
      </c>
      <c r="E1817">
        <v>666.35199999999998</v>
      </c>
      <c r="G1817">
        <f t="shared" si="55"/>
        <v>0.96319407973604099</v>
      </c>
    </row>
    <row r="1818" spans="1:7" x14ac:dyDescent="0.2">
      <c r="A1818">
        <v>37005.599999999999</v>
      </c>
      <c r="C1818">
        <v>46.217799999999997</v>
      </c>
      <c r="E1818">
        <v>762.28200000000004</v>
      </c>
      <c r="G1818">
        <f t="shared" si="55"/>
        <v>0.80028673394528049</v>
      </c>
    </row>
    <row r="1819" spans="1:7" x14ac:dyDescent="0.2">
      <c r="A1819">
        <v>40236.6</v>
      </c>
      <c r="C1819">
        <v>57.98</v>
      </c>
      <c r="E1819">
        <v>765.26800000000003</v>
      </c>
      <c r="G1819">
        <f t="shared" si="55"/>
        <v>0.86338334325820854</v>
      </c>
    </row>
    <row r="1820" spans="1:7" x14ac:dyDescent="0.2">
      <c r="A1820">
        <v>30872.1</v>
      </c>
      <c r="C1820">
        <v>33.886699999999998</v>
      </c>
      <c r="E1820">
        <v>675.34500000000003</v>
      </c>
      <c r="G1820">
        <f t="shared" si="55"/>
        <v>0.85059787183491053</v>
      </c>
    </row>
    <row r="1821" spans="1:7" x14ac:dyDescent="0.2">
      <c r="A1821">
        <v>28011.1</v>
      </c>
      <c r="C1821">
        <v>29.781300000000002</v>
      </c>
      <c r="E1821">
        <v>613.40700000000004</v>
      </c>
      <c r="G1821">
        <f t="shared" si="55"/>
        <v>0.9354965834747172</v>
      </c>
    </row>
    <row r="1822" spans="1:7" x14ac:dyDescent="0.2">
      <c r="A1822">
        <v>36364.199999999997</v>
      </c>
      <c r="C1822">
        <v>46.979700000000001</v>
      </c>
      <c r="E1822">
        <v>714.91300000000001</v>
      </c>
      <c r="G1822">
        <f t="shared" si="55"/>
        <v>0.89408157706234792</v>
      </c>
    </row>
    <row r="1823" spans="1:7" x14ac:dyDescent="0.2">
      <c r="A1823">
        <v>32387.599999999999</v>
      </c>
      <c r="C1823">
        <v>32.070300000000003</v>
      </c>
      <c r="E1823">
        <v>659.66800000000001</v>
      </c>
      <c r="G1823">
        <f t="shared" si="55"/>
        <v>0.93527091637532322</v>
      </c>
    </row>
    <row r="1824" spans="1:7" x14ac:dyDescent="0.2">
      <c r="A1824">
        <v>40763.1</v>
      </c>
      <c r="C1824">
        <v>54.178699999999999</v>
      </c>
      <c r="E1824">
        <v>757.21</v>
      </c>
      <c r="G1824">
        <f t="shared" si="55"/>
        <v>0.89339603346721541</v>
      </c>
    </row>
    <row r="1825" spans="1:7" x14ac:dyDescent="0.2">
      <c r="A1825">
        <v>11066.2</v>
      </c>
      <c r="C1825">
        <v>133.96899999999999</v>
      </c>
      <c r="E1825">
        <v>1359.74</v>
      </c>
      <c r="G1825">
        <f t="shared" si="55"/>
        <v>7.5213580769832603E-2</v>
      </c>
    </row>
    <row r="1826" spans="1:7" x14ac:dyDescent="0.2">
      <c r="A1826">
        <v>38360.800000000003</v>
      </c>
      <c r="C1826">
        <v>60.3996</v>
      </c>
      <c r="E1826">
        <v>754.38099999999997</v>
      </c>
      <c r="G1826">
        <f t="shared" si="55"/>
        <v>0.8470629171783397</v>
      </c>
    </row>
    <row r="1827" spans="1:7" x14ac:dyDescent="0.2">
      <c r="A1827">
        <v>28384</v>
      </c>
      <c r="C1827">
        <v>28.543399999999998</v>
      </c>
      <c r="E1827">
        <v>603.49900000000002</v>
      </c>
      <c r="G1827">
        <f t="shared" si="55"/>
        <v>0.97933209081477701</v>
      </c>
    </row>
    <row r="1828" spans="1:7" x14ac:dyDescent="0.2">
      <c r="A1828">
        <v>2395.11</v>
      </c>
      <c r="C1828">
        <v>71.474500000000006</v>
      </c>
      <c r="E1828">
        <v>977.90800000000002</v>
      </c>
      <c r="G1828">
        <f t="shared" si="55"/>
        <v>3.1473059531807006E-2</v>
      </c>
    </row>
    <row r="1829" spans="1:7" x14ac:dyDescent="0.2">
      <c r="A1829">
        <v>3788.33</v>
      </c>
      <c r="C1829">
        <v>144.46700000000001</v>
      </c>
      <c r="E1829">
        <v>1072.8699999999999</v>
      </c>
      <c r="G1829">
        <f t="shared" si="55"/>
        <v>4.1358339822490132E-2</v>
      </c>
    </row>
    <row r="1830" spans="1:7" x14ac:dyDescent="0.2">
      <c r="A1830">
        <v>33903.5</v>
      </c>
      <c r="C1830">
        <v>56.642600000000002</v>
      </c>
      <c r="E1830">
        <v>739.34699999999998</v>
      </c>
      <c r="G1830">
        <f t="shared" si="55"/>
        <v>0.77939461660407561</v>
      </c>
    </row>
    <row r="1831" spans="1:7" x14ac:dyDescent="0.2">
      <c r="A1831">
        <v>3107.62</v>
      </c>
      <c r="C1831">
        <v>97.5197</v>
      </c>
      <c r="E1831">
        <v>980.78</v>
      </c>
      <c r="G1831">
        <f t="shared" si="55"/>
        <v>4.0597024399280236E-2</v>
      </c>
    </row>
    <row r="1832" spans="1:7" x14ac:dyDescent="0.2">
      <c r="A1832">
        <v>34012.1</v>
      </c>
      <c r="C1832">
        <v>48.600499999999997</v>
      </c>
      <c r="E1832">
        <v>687.88199999999995</v>
      </c>
      <c r="G1832">
        <f t="shared" si="55"/>
        <v>0.90326473276744157</v>
      </c>
    </row>
    <row r="1833" spans="1:7" x14ac:dyDescent="0.2">
      <c r="A1833">
        <v>1908.98</v>
      </c>
      <c r="C1833">
        <v>245.249</v>
      </c>
      <c r="E1833">
        <v>611.14400000000001</v>
      </c>
      <c r="G1833">
        <f t="shared" si="55"/>
        <v>6.4227907148553115E-2</v>
      </c>
    </row>
    <row r="1834" spans="1:7" x14ac:dyDescent="0.2">
      <c r="A1834">
        <v>38300.300000000003</v>
      </c>
      <c r="C1834">
        <v>35.043399999999998</v>
      </c>
      <c r="E1834">
        <v>739.49</v>
      </c>
      <c r="G1834">
        <f t="shared" si="55"/>
        <v>0.88013048114175974</v>
      </c>
    </row>
    <row r="1835" spans="1:7" x14ac:dyDescent="0.2">
      <c r="A1835">
        <v>3150.92</v>
      </c>
      <c r="C1835">
        <v>120.673</v>
      </c>
      <c r="E1835">
        <v>1150.7</v>
      </c>
      <c r="G1835">
        <f t="shared" si="55"/>
        <v>2.9903543057951305E-2</v>
      </c>
    </row>
    <row r="1836" spans="1:7" x14ac:dyDescent="0.2">
      <c r="A1836">
        <v>26682.3</v>
      </c>
      <c r="C1836">
        <v>37.7136</v>
      </c>
      <c r="E1836">
        <v>590.06399999999996</v>
      </c>
      <c r="G1836">
        <f t="shared" si="55"/>
        <v>0.96301826011052483</v>
      </c>
    </row>
    <row r="1837" spans="1:7" x14ac:dyDescent="0.2">
      <c r="A1837">
        <v>4289</v>
      </c>
      <c r="C1837">
        <v>150.25899999999999</v>
      </c>
      <c r="E1837">
        <v>1010.75</v>
      </c>
      <c r="G1837">
        <f t="shared" si="55"/>
        <v>5.2756751187411556E-2</v>
      </c>
    </row>
    <row r="1838" spans="1:7" x14ac:dyDescent="0.2">
      <c r="A1838">
        <v>35461.1</v>
      </c>
      <c r="C1838">
        <v>44.1648</v>
      </c>
      <c r="E1838">
        <v>704.13199999999995</v>
      </c>
      <c r="G1838">
        <f t="shared" si="55"/>
        <v>0.89878028398435916</v>
      </c>
    </row>
    <row r="1839" spans="1:7" x14ac:dyDescent="0.2">
      <c r="A1839">
        <v>29637.3</v>
      </c>
      <c r="C1839">
        <v>39.316699999999997</v>
      </c>
      <c r="E1839">
        <v>628.21400000000006</v>
      </c>
      <c r="G1839">
        <f t="shared" si="55"/>
        <v>0.94369773408317936</v>
      </c>
    </row>
    <row r="1840" spans="1:7" x14ac:dyDescent="0.2">
      <c r="A1840">
        <v>25830</v>
      </c>
      <c r="C1840">
        <v>26.334700000000002</v>
      </c>
      <c r="E1840">
        <v>577.54999999999995</v>
      </c>
      <c r="G1840">
        <f t="shared" si="55"/>
        <v>0.97309384815887023</v>
      </c>
    </row>
    <row r="1841" spans="1:7" x14ac:dyDescent="0.2">
      <c r="A1841">
        <v>29228</v>
      </c>
      <c r="C1841">
        <v>32.520200000000003</v>
      </c>
      <c r="E1841">
        <v>623.54</v>
      </c>
      <c r="G1841">
        <f t="shared" si="55"/>
        <v>0.94466964100358342</v>
      </c>
    </row>
    <row r="1842" spans="1:7" x14ac:dyDescent="0.2">
      <c r="A1842">
        <v>29714.400000000001</v>
      </c>
      <c r="C1842">
        <v>27.007400000000001</v>
      </c>
      <c r="E1842">
        <v>621.53399999999999</v>
      </c>
      <c r="G1842">
        <f t="shared" si="55"/>
        <v>0.96659975451337909</v>
      </c>
    </row>
    <row r="1843" spans="1:7" x14ac:dyDescent="0.2">
      <c r="A1843">
        <v>31362.7</v>
      </c>
      <c r="C1843">
        <v>25.082899999999999</v>
      </c>
      <c r="E1843">
        <v>641.08699999999999</v>
      </c>
      <c r="G1843">
        <f t="shared" si="55"/>
        <v>0.95893462510884397</v>
      </c>
    </row>
    <row r="1844" spans="1:7" x14ac:dyDescent="0.2">
      <c r="A1844">
        <v>35471.4</v>
      </c>
      <c r="C1844">
        <v>33.951099999999997</v>
      </c>
      <c r="E1844">
        <v>683.77300000000002</v>
      </c>
      <c r="G1844">
        <f t="shared" si="55"/>
        <v>0.95337537693985663</v>
      </c>
    </row>
    <row r="1845" spans="1:7" x14ac:dyDescent="0.2">
      <c r="A1845">
        <v>30969.200000000001</v>
      </c>
      <c r="C1845">
        <v>34.286900000000003</v>
      </c>
      <c r="E1845">
        <v>641.04100000000005</v>
      </c>
      <c r="G1845">
        <f t="shared" si="55"/>
        <v>0.94703901191703432</v>
      </c>
    </row>
    <row r="1846" spans="1:7" x14ac:dyDescent="0.2">
      <c r="A1846">
        <v>35149.1</v>
      </c>
      <c r="C1846">
        <v>28.788</v>
      </c>
      <c r="E1846">
        <v>673.23299999999995</v>
      </c>
      <c r="G1846">
        <f t="shared" si="55"/>
        <v>0.974524843491264</v>
      </c>
    </row>
    <row r="1847" spans="1:7" x14ac:dyDescent="0.2">
      <c r="A1847">
        <v>28580</v>
      </c>
      <c r="C1847">
        <v>29.226600000000001</v>
      </c>
      <c r="E1847">
        <v>610.60900000000004</v>
      </c>
      <c r="G1847">
        <f t="shared" si="55"/>
        <v>0.9632639765503781</v>
      </c>
    </row>
    <row r="1848" spans="1:7" x14ac:dyDescent="0.2">
      <c r="A1848">
        <v>27667.4</v>
      </c>
      <c r="C1848">
        <v>30.474900000000002</v>
      </c>
      <c r="E1848">
        <v>602.63199999999995</v>
      </c>
      <c r="G1848">
        <f t="shared" si="55"/>
        <v>0.9573560095346908</v>
      </c>
    </row>
    <row r="1849" spans="1:7" x14ac:dyDescent="0.2">
      <c r="A1849">
        <v>33754.6</v>
      </c>
      <c r="C1849">
        <v>38.472799999999999</v>
      </c>
      <c r="E1849">
        <v>692.34900000000005</v>
      </c>
      <c r="G1849">
        <f t="shared" si="55"/>
        <v>0.88489618859911545</v>
      </c>
    </row>
    <row r="1850" spans="1:7" x14ac:dyDescent="0.2">
      <c r="A1850">
        <v>31541.200000000001</v>
      </c>
      <c r="C1850">
        <v>37.895600000000002</v>
      </c>
      <c r="E1850">
        <v>654.07399999999996</v>
      </c>
      <c r="G1850">
        <f t="shared" si="55"/>
        <v>0.92647549669019769</v>
      </c>
    </row>
    <row r="1851" spans="1:7" x14ac:dyDescent="0.2">
      <c r="A1851">
        <v>26940.2</v>
      </c>
      <c r="C1851">
        <v>26.5105</v>
      </c>
      <c r="E1851">
        <v>628.029</v>
      </c>
      <c r="G1851">
        <f t="shared" si="55"/>
        <v>0.85832332797793975</v>
      </c>
    </row>
    <row r="1852" spans="1:7" x14ac:dyDescent="0.2">
      <c r="A1852">
        <v>25741</v>
      </c>
      <c r="C1852">
        <v>37.103400000000001</v>
      </c>
      <c r="E1852">
        <v>624.64400000000001</v>
      </c>
      <c r="G1852">
        <f t="shared" si="55"/>
        <v>0.82902908322356372</v>
      </c>
    </row>
    <row r="1853" spans="1:7" x14ac:dyDescent="0.2">
      <c r="A1853">
        <v>26855.7</v>
      </c>
      <c r="C1853">
        <v>34.953699999999998</v>
      </c>
      <c r="E1853">
        <v>613.07799999999997</v>
      </c>
      <c r="G1853">
        <f t="shared" si="55"/>
        <v>0.89787216899097444</v>
      </c>
    </row>
    <row r="1854" spans="1:7" x14ac:dyDescent="0.2">
      <c r="A1854">
        <v>41527.800000000003</v>
      </c>
      <c r="C1854">
        <v>60.312600000000003</v>
      </c>
      <c r="E1854">
        <v>831.85799999999995</v>
      </c>
      <c r="G1854">
        <f t="shared" si="55"/>
        <v>0.75413661334146553</v>
      </c>
    </row>
    <row r="1855" spans="1:7" x14ac:dyDescent="0.2">
      <c r="A1855">
        <v>48147.9</v>
      </c>
      <c r="C1855">
        <v>33.122500000000002</v>
      </c>
      <c r="E1855">
        <v>790.85599999999999</v>
      </c>
      <c r="G1855">
        <f t="shared" si="55"/>
        <v>0.96736867334533194</v>
      </c>
    </row>
    <row r="1856" spans="1:7" x14ac:dyDescent="0.2">
      <c r="A1856">
        <v>44943.7</v>
      </c>
      <c r="C1856">
        <v>45.593200000000003</v>
      </c>
      <c r="E1856">
        <v>796.20299999999997</v>
      </c>
      <c r="G1856">
        <f t="shared" si="55"/>
        <v>0.89090357340331761</v>
      </c>
    </row>
    <row r="1857" spans="1:7" x14ac:dyDescent="0.2">
      <c r="A1857">
        <v>26819.7</v>
      </c>
      <c r="C1857">
        <v>27.995999999999999</v>
      </c>
      <c r="E1857">
        <v>595.08199999999999</v>
      </c>
      <c r="G1857">
        <f t="shared" si="55"/>
        <v>0.95172129066897138</v>
      </c>
    </row>
    <row r="1858" spans="1:7" x14ac:dyDescent="0.2">
      <c r="A1858">
        <v>32966.1</v>
      </c>
      <c r="C1858">
        <v>38.726799999999997</v>
      </c>
      <c r="E1858">
        <v>688.14700000000005</v>
      </c>
      <c r="G1858">
        <f t="shared" si="55"/>
        <v>0.87481178923142699</v>
      </c>
    </row>
    <row r="1859" spans="1:7" x14ac:dyDescent="0.2">
      <c r="A1859">
        <v>28453.5</v>
      </c>
      <c r="C1859">
        <v>31.738</v>
      </c>
      <c r="E1859">
        <v>617.95899999999995</v>
      </c>
      <c r="G1859">
        <f t="shared" ref="G1859:G1922" si="56" xml:space="preserve"> 3.14159*4*A1859/(E1859*E1859)</f>
        <v>0.93632338321186437</v>
      </c>
    </row>
    <row r="1860" spans="1:7" x14ac:dyDescent="0.2">
      <c r="A1860">
        <v>31589.7</v>
      </c>
      <c r="C1860">
        <v>54.120399999999997</v>
      </c>
      <c r="E1860">
        <v>710.39200000000005</v>
      </c>
      <c r="G1860">
        <f t="shared" si="56"/>
        <v>0.78660893398435161</v>
      </c>
    </row>
    <row r="1861" spans="1:7" x14ac:dyDescent="0.2">
      <c r="A1861">
        <v>45799.8</v>
      </c>
      <c r="C1861">
        <v>41.812199999999997</v>
      </c>
      <c r="E1861">
        <v>853.27499999999998</v>
      </c>
      <c r="G1861">
        <f t="shared" si="56"/>
        <v>0.7904875526718923</v>
      </c>
    </row>
    <row r="1862" spans="1:7" x14ac:dyDescent="0.2">
      <c r="A1862">
        <v>32438.1</v>
      </c>
      <c r="C1862">
        <v>34.977400000000003</v>
      </c>
      <c r="E1862">
        <v>658.28899999999999</v>
      </c>
      <c r="G1862">
        <f t="shared" si="56"/>
        <v>0.94065790452423503</v>
      </c>
    </row>
    <row r="1863" spans="1:7" x14ac:dyDescent="0.2">
      <c r="A1863">
        <v>28340</v>
      </c>
      <c r="C1863">
        <v>32.391199999999998</v>
      </c>
      <c r="E1863">
        <v>618.80600000000004</v>
      </c>
      <c r="G1863">
        <f t="shared" si="56"/>
        <v>0.93003718094206311</v>
      </c>
    </row>
    <row r="1864" spans="1:7" x14ac:dyDescent="0.2">
      <c r="A1864">
        <v>26704.2</v>
      </c>
      <c r="C1864">
        <v>31.122599999999998</v>
      </c>
      <c r="E1864">
        <v>599.024</v>
      </c>
      <c r="G1864">
        <f t="shared" si="56"/>
        <v>0.93519165649711677</v>
      </c>
    </row>
    <row r="1865" spans="1:7" x14ac:dyDescent="0.2">
      <c r="A1865">
        <v>31337.599999999999</v>
      </c>
      <c r="C1865">
        <v>22.7516</v>
      </c>
      <c r="E1865">
        <v>643.51499999999999</v>
      </c>
      <c r="G1865">
        <f t="shared" si="56"/>
        <v>0.95095043392845235</v>
      </c>
    </row>
    <row r="1866" spans="1:7" x14ac:dyDescent="0.2">
      <c r="A1866">
        <v>34781.699999999997</v>
      </c>
      <c r="C1866">
        <v>25.712700000000002</v>
      </c>
      <c r="E1866">
        <v>668.39700000000005</v>
      </c>
      <c r="G1866">
        <f t="shared" si="56"/>
        <v>0.9783433968261368</v>
      </c>
    </row>
    <row r="1867" spans="1:7" x14ac:dyDescent="0.2">
      <c r="A1867">
        <v>44282.5</v>
      </c>
      <c r="C1867">
        <v>57.093600000000002</v>
      </c>
      <c r="E1867">
        <v>813.73800000000006</v>
      </c>
      <c r="G1867">
        <f t="shared" si="56"/>
        <v>0.84037366454788687</v>
      </c>
    </row>
    <row r="1868" spans="1:7" x14ac:dyDescent="0.2">
      <c r="A1868">
        <v>27271.3</v>
      </c>
      <c r="C1868">
        <v>32.122300000000003</v>
      </c>
      <c r="E1868">
        <v>599.80200000000002</v>
      </c>
      <c r="G1868">
        <f t="shared" si="56"/>
        <v>0.952575744778277</v>
      </c>
    </row>
    <row r="1869" spans="1:7" x14ac:dyDescent="0.2">
      <c r="A1869">
        <v>32667.200000000001</v>
      </c>
      <c r="C1869">
        <v>41.5745</v>
      </c>
      <c r="E1869">
        <v>678.19</v>
      </c>
      <c r="G1869">
        <f t="shared" si="56"/>
        <v>0.89252141461246437</v>
      </c>
    </row>
    <row r="1870" spans="1:7" x14ac:dyDescent="0.2">
      <c r="A1870">
        <v>37891.4</v>
      </c>
      <c r="C1870">
        <v>35.6096</v>
      </c>
      <c r="E1870">
        <v>706.06700000000001</v>
      </c>
      <c r="G1870">
        <f t="shared" si="56"/>
        <v>0.95512083951512539</v>
      </c>
    </row>
    <row r="1871" spans="1:7" x14ac:dyDescent="0.2">
      <c r="A1871">
        <v>34094.699999999997</v>
      </c>
      <c r="C1871">
        <v>27.950199999999999</v>
      </c>
      <c r="E1871">
        <v>671.43700000000001</v>
      </c>
      <c r="G1871">
        <f t="shared" si="56"/>
        <v>0.95035492848150627</v>
      </c>
    </row>
    <row r="1872" spans="1:7" x14ac:dyDescent="0.2">
      <c r="A1872">
        <v>25590.9</v>
      </c>
      <c r="C1872">
        <v>29.579499999999999</v>
      </c>
      <c r="E1872">
        <v>582.01400000000001</v>
      </c>
      <c r="G1872">
        <f t="shared" si="56"/>
        <v>0.9493540205737041</v>
      </c>
    </row>
    <row r="1873" spans="1:7" x14ac:dyDescent="0.2">
      <c r="A1873">
        <v>49147.7</v>
      </c>
      <c r="C1873">
        <v>46.519300000000001</v>
      </c>
      <c r="E1873">
        <v>829.11599999999999</v>
      </c>
      <c r="G1873">
        <f t="shared" si="56"/>
        <v>0.89842556961798259</v>
      </c>
    </row>
    <row r="1874" spans="1:7" x14ac:dyDescent="0.2">
      <c r="A1874">
        <v>37800.699999999997</v>
      </c>
      <c r="C1874">
        <v>45.519100000000002</v>
      </c>
      <c r="E1874">
        <v>719.53599999999994</v>
      </c>
      <c r="G1874">
        <f t="shared" si="56"/>
        <v>0.91749622143914022</v>
      </c>
    </row>
    <row r="1875" spans="1:7" x14ac:dyDescent="0.2">
      <c r="A1875">
        <v>39903.300000000003</v>
      </c>
      <c r="C1875">
        <v>59.125100000000003</v>
      </c>
      <c r="E1875">
        <v>798.63599999999997</v>
      </c>
      <c r="G1875">
        <f t="shared" si="56"/>
        <v>0.78617738097557599</v>
      </c>
    </row>
    <row r="1876" spans="1:7" x14ac:dyDescent="0.2">
      <c r="A1876">
        <v>32246.400000000001</v>
      </c>
      <c r="C1876">
        <v>25.0412</v>
      </c>
      <c r="E1876">
        <v>655.96400000000006</v>
      </c>
      <c r="G1876">
        <f t="shared" si="56"/>
        <v>0.94173936207302011</v>
      </c>
    </row>
    <row r="1877" spans="1:7" x14ac:dyDescent="0.2">
      <c r="A1877">
        <v>31422.6</v>
      </c>
      <c r="C1877">
        <v>28.278400000000001</v>
      </c>
      <c r="E1877">
        <v>645.11400000000003</v>
      </c>
      <c r="G1877">
        <f t="shared" si="56"/>
        <v>0.94880874849042351</v>
      </c>
    </row>
    <row r="1878" spans="1:7" x14ac:dyDescent="0.2">
      <c r="A1878">
        <v>44384.1</v>
      </c>
      <c r="C1878">
        <v>28.890599999999999</v>
      </c>
      <c r="E1878">
        <v>771.54</v>
      </c>
      <c r="G1878">
        <f t="shared" si="56"/>
        <v>0.93695777992252482</v>
      </c>
    </row>
    <row r="1879" spans="1:7" x14ac:dyDescent="0.2">
      <c r="A1879">
        <v>36149.699999999997</v>
      </c>
      <c r="C1879">
        <v>26.3322</v>
      </c>
      <c r="E1879">
        <v>682.59900000000005</v>
      </c>
      <c r="G1879">
        <f t="shared" si="56"/>
        <v>0.97495124743319961</v>
      </c>
    </row>
    <row r="1880" spans="1:7" x14ac:dyDescent="0.2">
      <c r="A1880">
        <v>26617.599999999999</v>
      </c>
      <c r="C1880">
        <v>31.759499999999999</v>
      </c>
      <c r="E1880">
        <v>584.52599999999995</v>
      </c>
      <c r="G1880">
        <f t="shared" si="56"/>
        <v>0.97897302313807877</v>
      </c>
    </row>
    <row r="1881" spans="1:7" x14ac:dyDescent="0.2">
      <c r="A1881">
        <v>28387.9</v>
      </c>
      <c r="C1881">
        <v>41.055999999999997</v>
      </c>
      <c r="E1881">
        <v>625.52599999999995</v>
      </c>
      <c r="G1881">
        <f t="shared" si="56"/>
        <v>0.91170016241065199</v>
      </c>
    </row>
    <row r="1882" spans="1:7" x14ac:dyDescent="0.2">
      <c r="A1882">
        <v>29993</v>
      </c>
      <c r="C1882">
        <v>26.303100000000001</v>
      </c>
      <c r="E1882">
        <v>631.14499999999998</v>
      </c>
      <c r="G1882">
        <f t="shared" si="56"/>
        <v>0.94617422390805239</v>
      </c>
    </row>
    <row r="1883" spans="1:7" x14ac:dyDescent="0.2">
      <c r="A1883">
        <v>25759.4</v>
      </c>
      <c r="C1883">
        <v>26.7502</v>
      </c>
      <c r="E1883">
        <v>574.53499999999997</v>
      </c>
      <c r="G1883">
        <f t="shared" si="56"/>
        <v>0.98064599528104723</v>
      </c>
    </row>
    <row r="1884" spans="1:7" x14ac:dyDescent="0.2">
      <c r="A1884">
        <v>31857.5</v>
      </c>
      <c r="C1884">
        <v>30.1191</v>
      </c>
      <c r="E1884">
        <v>650.76</v>
      </c>
      <c r="G1884">
        <f t="shared" si="56"/>
        <v>0.94532139678659433</v>
      </c>
    </row>
    <row r="1885" spans="1:7" x14ac:dyDescent="0.2">
      <c r="A1885">
        <v>45546.7</v>
      </c>
      <c r="C1885">
        <v>73.392399999999995</v>
      </c>
      <c r="E1885">
        <v>802.18899999999996</v>
      </c>
      <c r="G1885">
        <f t="shared" si="56"/>
        <v>0.88943252907754866</v>
      </c>
    </row>
    <row r="1886" spans="1:7" x14ac:dyDescent="0.2">
      <c r="A1886">
        <v>43169.7</v>
      </c>
      <c r="C1886">
        <v>48.193899999999999</v>
      </c>
      <c r="E1886">
        <v>793.44</v>
      </c>
      <c r="G1886">
        <f t="shared" si="56"/>
        <v>0.86170843850990686</v>
      </c>
    </row>
    <row r="1887" spans="1:7" x14ac:dyDescent="0.2">
      <c r="A1887">
        <v>13010.7</v>
      </c>
      <c r="C1887">
        <v>318.04700000000003</v>
      </c>
      <c r="E1887">
        <v>1718.13</v>
      </c>
      <c r="G1887">
        <f t="shared" si="56"/>
        <v>5.5385759832811292E-2</v>
      </c>
    </row>
    <row r="1888" spans="1:7" x14ac:dyDescent="0.2">
      <c r="A1888">
        <v>32867.599999999999</v>
      </c>
      <c r="C1888">
        <v>50.927199999999999</v>
      </c>
      <c r="E1888">
        <v>705.11199999999997</v>
      </c>
      <c r="G1888">
        <f t="shared" si="56"/>
        <v>0.83073264768485944</v>
      </c>
    </row>
    <row r="1889" spans="1:7" x14ac:dyDescent="0.2">
      <c r="A1889">
        <v>39774.9</v>
      </c>
      <c r="C1889">
        <v>24.877300000000002</v>
      </c>
      <c r="E1889">
        <v>724.54100000000005</v>
      </c>
      <c r="G1889">
        <f t="shared" si="56"/>
        <v>0.95212213394759648</v>
      </c>
    </row>
    <row r="1890" spans="1:7" x14ac:dyDescent="0.2">
      <c r="A1890">
        <v>39298.400000000001</v>
      </c>
      <c r="C1890">
        <v>41.529699999999998</v>
      </c>
      <c r="E1890">
        <v>746.71199999999999</v>
      </c>
      <c r="G1890">
        <f t="shared" si="56"/>
        <v>0.88568258357579199</v>
      </c>
    </row>
    <row r="1891" spans="1:7" x14ac:dyDescent="0.2">
      <c r="A1891">
        <v>38829.199999999997</v>
      </c>
      <c r="C1891">
        <v>32.069099999999999</v>
      </c>
      <c r="E1891">
        <v>739.8</v>
      </c>
      <c r="G1891">
        <f t="shared" si="56"/>
        <v>0.89153682423393044</v>
      </c>
    </row>
    <row r="1892" spans="1:7" x14ac:dyDescent="0.2">
      <c r="A1892">
        <v>32089.8</v>
      </c>
      <c r="C1892">
        <v>32.765799999999999</v>
      </c>
      <c r="E1892">
        <v>650.30100000000004</v>
      </c>
      <c r="G1892">
        <f t="shared" si="56"/>
        <v>0.95355920714042164</v>
      </c>
    </row>
    <row r="1893" spans="1:7" x14ac:dyDescent="0.2">
      <c r="A1893">
        <v>32899.300000000003</v>
      </c>
      <c r="C1893">
        <v>29.343800000000002</v>
      </c>
      <c r="E1893">
        <v>651.76800000000003</v>
      </c>
      <c r="G1893">
        <f t="shared" si="56"/>
        <v>0.97321789686623295</v>
      </c>
    </row>
    <row r="1894" spans="1:7" x14ac:dyDescent="0.2">
      <c r="A1894">
        <v>36017.199999999997</v>
      </c>
      <c r="C1894">
        <v>34.182299999999998</v>
      </c>
      <c r="E1894">
        <v>712.803</v>
      </c>
      <c r="G1894">
        <f t="shared" si="56"/>
        <v>0.89080040728868848</v>
      </c>
    </row>
    <row r="1895" spans="1:7" x14ac:dyDescent="0.2">
      <c r="A1895">
        <v>28324.400000000001</v>
      </c>
      <c r="C1895">
        <v>30.088899999999999</v>
      </c>
      <c r="E1895">
        <v>605.11199999999997</v>
      </c>
      <c r="G1895">
        <f t="shared" si="56"/>
        <v>0.97207256257534769</v>
      </c>
    </row>
    <row r="1896" spans="1:7" x14ac:dyDescent="0.2">
      <c r="A1896">
        <v>31889.4</v>
      </c>
      <c r="C1896">
        <v>29.6615</v>
      </c>
      <c r="E1896">
        <v>641.47</v>
      </c>
      <c r="G1896">
        <f t="shared" si="56"/>
        <v>0.97387483702276034</v>
      </c>
    </row>
    <row r="1897" spans="1:7" x14ac:dyDescent="0.2">
      <c r="A1897">
        <v>39376.199999999997</v>
      </c>
      <c r="C1897">
        <v>67.021100000000004</v>
      </c>
      <c r="E1897">
        <v>784.40099999999995</v>
      </c>
      <c r="G1897">
        <f t="shared" si="56"/>
        <v>0.80420546883253319</v>
      </c>
    </row>
    <row r="1898" spans="1:7" x14ac:dyDescent="0.2">
      <c r="A1898">
        <v>32993.300000000003</v>
      </c>
      <c r="C1898">
        <v>29.2913</v>
      </c>
      <c r="E1898">
        <v>651.03499999999997</v>
      </c>
      <c r="G1898">
        <f t="shared" si="56"/>
        <v>0.9781975684967984</v>
      </c>
    </row>
    <row r="1899" spans="1:7" x14ac:dyDescent="0.2">
      <c r="A1899">
        <v>33752.5</v>
      </c>
      <c r="C1899">
        <v>50.358899999999998</v>
      </c>
      <c r="E1899">
        <v>716.56200000000001</v>
      </c>
      <c r="G1899">
        <f t="shared" si="56"/>
        <v>0.82605296882054791</v>
      </c>
    </row>
    <row r="1900" spans="1:7" x14ac:dyDescent="0.2">
      <c r="A1900">
        <v>39655.599999999999</v>
      </c>
      <c r="C1900">
        <v>36.3215</v>
      </c>
      <c r="E1900">
        <v>735.56299999999999</v>
      </c>
      <c r="G1900">
        <f t="shared" si="56"/>
        <v>0.92103105034038912</v>
      </c>
    </row>
    <row r="1901" spans="1:7" x14ac:dyDescent="0.2">
      <c r="A1901">
        <v>35664.400000000001</v>
      </c>
      <c r="C1901">
        <v>25.154900000000001</v>
      </c>
      <c r="E1901">
        <v>677.49</v>
      </c>
      <c r="G1901">
        <f t="shared" si="56"/>
        <v>0.97642443874675466</v>
      </c>
    </row>
    <row r="1902" spans="1:7" x14ac:dyDescent="0.2">
      <c r="A1902">
        <v>42511.9</v>
      </c>
      <c r="C1902">
        <v>36.764000000000003</v>
      </c>
      <c r="E1902">
        <v>779.28499999999997</v>
      </c>
      <c r="G1902">
        <f t="shared" si="56"/>
        <v>0.87968538962923926</v>
      </c>
    </row>
    <row r="1903" spans="1:7" x14ac:dyDescent="0.2">
      <c r="A1903">
        <v>32257.9</v>
      </c>
      <c r="C1903">
        <v>30.855</v>
      </c>
      <c r="E1903">
        <v>648.91300000000001</v>
      </c>
      <c r="G1903">
        <f t="shared" si="56"/>
        <v>0.96265936270052443</v>
      </c>
    </row>
    <row r="1904" spans="1:7" x14ac:dyDescent="0.2">
      <c r="A1904">
        <v>27976.2</v>
      </c>
      <c r="C1904">
        <v>132.99600000000001</v>
      </c>
      <c r="E1904">
        <v>1346.01</v>
      </c>
      <c r="G1904">
        <f t="shared" si="56"/>
        <v>0.19404463885670684</v>
      </c>
    </row>
    <row r="1905" spans="1:7" x14ac:dyDescent="0.2">
      <c r="A1905">
        <v>35274.9</v>
      </c>
      <c r="C1905">
        <v>39.755200000000002</v>
      </c>
      <c r="E1905">
        <v>697.25900000000001</v>
      </c>
      <c r="G1905">
        <f t="shared" si="56"/>
        <v>0.91177363732794137</v>
      </c>
    </row>
    <row r="1906" spans="1:7" x14ac:dyDescent="0.2">
      <c r="A1906">
        <v>43465.3</v>
      </c>
      <c r="C1906">
        <v>48.383499999999998</v>
      </c>
      <c r="E1906">
        <v>840.99099999999999</v>
      </c>
      <c r="G1906">
        <f t="shared" si="56"/>
        <v>0.77227056555635942</v>
      </c>
    </row>
    <row r="1907" spans="1:7" x14ac:dyDescent="0.2">
      <c r="A1907">
        <v>5433.8</v>
      </c>
      <c r="C1907">
        <v>91.229799999999997</v>
      </c>
      <c r="E1907">
        <v>1144</v>
      </c>
      <c r="G1907">
        <f t="shared" si="56"/>
        <v>5.2174836611814761E-2</v>
      </c>
    </row>
    <row r="1908" spans="1:7" x14ac:dyDescent="0.2">
      <c r="A1908">
        <v>39904.800000000003</v>
      </c>
      <c r="C1908">
        <v>29.385899999999999</v>
      </c>
      <c r="E1908">
        <v>718.06799999999998</v>
      </c>
      <c r="G1908">
        <f t="shared" si="56"/>
        <v>0.97253107967068186</v>
      </c>
    </row>
    <row r="1909" spans="1:7" x14ac:dyDescent="0.2">
      <c r="A1909">
        <v>39647</v>
      </c>
      <c r="C1909">
        <v>37.255099999999999</v>
      </c>
      <c r="E1909">
        <v>746.68299999999999</v>
      </c>
      <c r="G1909">
        <f t="shared" si="56"/>
        <v>0.89360851944998732</v>
      </c>
    </row>
    <row r="1910" spans="1:7" x14ac:dyDescent="0.2">
      <c r="A1910">
        <v>35527.800000000003</v>
      </c>
      <c r="C1910">
        <v>64.878399999999999</v>
      </c>
      <c r="E1910">
        <v>738.197</v>
      </c>
      <c r="G1910">
        <f t="shared" si="56"/>
        <v>0.81928171214681822</v>
      </c>
    </row>
    <row r="1911" spans="1:7" x14ac:dyDescent="0.2">
      <c r="A1911">
        <v>45786.5</v>
      </c>
      <c r="C1911">
        <v>59.805100000000003</v>
      </c>
      <c r="E1911">
        <v>828.66800000000001</v>
      </c>
      <c r="G1911">
        <f t="shared" si="56"/>
        <v>0.83788768436087246</v>
      </c>
    </row>
    <row r="1912" spans="1:7" x14ac:dyDescent="0.2">
      <c r="A1912">
        <v>4648.92</v>
      </c>
      <c r="C1912">
        <v>198.00899999999999</v>
      </c>
      <c r="E1912">
        <v>1192.6600000000001</v>
      </c>
      <c r="G1912">
        <f t="shared" si="56"/>
        <v>4.1070336591366274E-2</v>
      </c>
    </row>
    <row r="1913" spans="1:7" x14ac:dyDescent="0.2">
      <c r="A1913">
        <v>34443.4</v>
      </c>
      <c r="C1913">
        <v>30.868600000000001</v>
      </c>
      <c r="E1913">
        <v>674.16399999999999</v>
      </c>
      <c r="G1913">
        <f t="shared" si="56"/>
        <v>0.95232327131540528</v>
      </c>
    </row>
    <row r="1914" spans="1:7" x14ac:dyDescent="0.2">
      <c r="A1914">
        <v>46647.6</v>
      </c>
      <c r="C1914">
        <v>39.159599999999998</v>
      </c>
      <c r="E1914">
        <v>794.99800000000005</v>
      </c>
      <c r="G1914">
        <f t="shared" si="56"/>
        <v>0.92748464717925394</v>
      </c>
    </row>
    <row r="1915" spans="1:7" x14ac:dyDescent="0.2">
      <c r="A1915">
        <v>44692.1</v>
      </c>
      <c r="C1915">
        <v>49.467599999999997</v>
      </c>
      <c r="E1915">
        <v>827.60699999999997</v>
      </c>
      <c r="G1915">
        <f t="shared" si="56"/>
        <v>0.81995864366609261</v>
      </c>
    </row>
    <row r="1916" spans="1:7" x14ac:dyDescent="0.2">
      <c r="A1916">
        <v>44421</v>
      </c>
      <c r="C1916">
        <v>63.283200000000001</v>
      </c>
      <c r="E1916">
        <v>933.27800000000002</v>
      </c>
      <c r="G1916">
        <f t="shared" si="56"/>
        <v>0.64087860218476267</v>
      </c>
    </row>
    <row r="1917" spans="1:7" x14ac:dyDescent="0.2">
      <c r="A1917">
        <v>36158.400000000001</v>
      </c>
      <c r="C1917">
        <v>32.164099999999998</v>
      </c>
      <c r="E1917">
        <v>683.32899999999995</v>
      </c>
      <c r="G1917">
        <f t="shared" si="56"/>
        <v>0.97310341679087708</v>
      </c>
    </row>
    <row r="1918" spans="1:7" x14ac:dyDescent="0.2">
      <c r="A1918">
        <v>25723.599999999999</v>
      </c>
      <c r="C1918">
        <v>188.227</v>
      </c>
      <c r="E1918">
        <v>1449.31</v>
      </c>
      <c r="G1918">
        <f t="shared" si="56"/>
        <v>0.15389292964556336</v>
      </c>
    </row>
    <row r="1919" spans="1:7" x14ac:dyDescent="0.2">
      <c r="A1919">
        <v>47129.7</v>
      </c>
      <c r="C1919">
        <v>40.149900000000002</v>
      </c>
      <c r="E1919">
        <v>802.02599999999995</v>
      </c>
      <c r="G1919">
        <f t="shared" si="56"/>
        <v>0.92071936522345399</v>
      </c>
    </row>
    <row r="1920" spans="1:7" x14ac:dyDescent="0.2">
      <c r="A1920">
        <v>31867.5</v>
      </c>
      <c r="C1920">
        <v>39.343299999999999</v>
      </c>
      <c r="E1920">
        <v>645.74300000000005</v>
      </c>
      <c r="G1920">
        <f t="shared" si="56"/>
        <v>0.96036887776227986</v>
      </c>
    </row>
    <row r="1921" spans="1:7" x14ac:dyDescent="0.2">
      <c r="A1921">
        <v>41144.9</v>
      </c>
      <c r="C1921">
        <v>29.354700000000001</v>
      </c>
      <c r="E1921">
        <v>727.01</v>
      </c>
      <c r="G1921">
        <f t="shared" si="56"/>
        <v>0.97823847296700694</v>
      </c>
    </row>
    <row r="1922" spans="1:7" x14ac:dyDescent="0.2">
      <c r="A1922">
        <v>32512.1</v>
      </c>
      <c r="C1922">
        <v>32.462800000000001</v>
      </c>
      <c r="E1922">
        <v>659.02499999999998</v>
      </c>
      <c r="G1922">
        <f t="shared" si="56"/>
        <v>0.94069912414294554</v>
      </c>
    </row>
    <row r="1923" spans="1:7" x14ac:dyDescent="0.2">
      <c r="A1923">
        <v>29166.2</v>
      </c>
      <c r="C1923">
        <v>29.7776</v>
      </c>
      <c r="E1923">
        <v>617.25599999999997</v>
      </c>
      <c r="G1923">
        <f t="shared" ref="G1923:G1986" si="57" xml:space="preserve"> 3.14159*4*A1923/(E1923*E1923)</f>
        <v>0.96196374939243234</v>
      </c>
    </row>
    <row r="1924" spans="1:7" x14ac:dyDescent="0.2">
      <c r="A1924">
        <v>30261.599999999999</v>
      </c>
      <c r="C1924">
        <v>31.479500000000002</v>
      </c>
      <c r="E1924">
        <v>627.30399999999997</v>
      </c>
      <c r="G1924">
        <f t="shared" si="57"/>
        <v>0.96637407367226669</v>
      </c>
    </row>
    <row r="1925" spans="1:7" x14ac:dyDescent="0.2">
      <c r="A1925">
        <v>4973.97</v>
      </c>
      <c r="C1925">
        <v>71.698400000000007</v>
      </c>
      <c r="E1925">
        <v>1132.6400000000001</v>
      </c>
      <c r="G1925">
        <f t="shared" si="57"/>
        <v>4.8722421971148219E-2</v>
      </c>
    </row>
    <row r="1926" spans="1:7" x14ac:dyDescent="0.2">
      <c r="A1926">
        <v>32479</v>
      </c>
      <c r="C1926">
        <v>38.239100000000001</v>
      </c>
      <c r="E1926">
        <v>675.37400000000002</v>
      </c>
      <c r="G1926">
        <f t="shared" si="57"/>
        <v>0.89479484085493355</v>
      </c>
    </row>
    <row r="1927" spans="1:7" x14ac:dyDescent="0.2">
      <c r="A1927">
        <v>23339.5</v>
      </c>
      <c r="C1927">
        <v>243.642</v>
      </c>
      <c r="E1927">
        <v>1296.94</v>
      </c>
      <c r="G1927">
        <f t="shared" si="57"/>
        <v>0.17436578741609193</v>
      </c>
    </row>
    <row r="1928" spans="1:7" x14ac:dyDescent="0.2">
      <c r="A1928">
        <v>33183.300000000003</v>
      </c>
      <c r="C1928">
        <v>49.928100000000001</v>
      </c>
      <c r="E1928">
        <v>777.91399999999999</v>
      </c>
      <c r="G1928">
        <f t="shared" si="57"/>
        <v>0.68907405089974882</v>
      </c>
    </row>
    <row r="1929" spans="1:7" x14ac:dyDescent="0.2">
      <c r="A1929">
        <v>8044.02</v>
      </c>
      <c r="C1929">
        <v>235.54900000000001</v>
      </c>
      <c r="E1929">
        <v>1363.66</v>
      </c>
      <c r="G1929">
        <f t="shared" si="57"/>
        <v>5.4358871948245971E-2</v>
      </c>
    </row>
    <row r="1930" spans="1:7" x14ac:dyDescent="0.2">
      <c r="A1930">
        <v>33666.1</v>
      </c>
      <c r="C1930">
        <v>31.684100000000001</v>
      </c>
      <c r="E1930">
        <v>661.89300000000003</v>
      </c>
      <c r="G1930">
        <f t="shared" si="57"/>
        <v>0.9656655316322198</v>
      </c>
    </row>
    <row r="1931" spans="1:7" x14ac:dyDescent="0.2">
      <c r="A1931">
        <v>30050.9</v>
      </c>
      <c r="C1931">
        <v>28.789000000000001</v>
      </c>
      <c r="E1931">
        <v>636.53499999999997</v>
      </c>
      <c r="G1931">
        <f t="shared" si="57"/>
        <v>0.93201393051678516</v>
      </c>
    </row>
    <row r="1932" spans="1:7" x14ac:dyDescent="0.2">
      <c r="A1932">
        <v>35268.199999999997</v>
      </c>
      <c r="C1932">
        <v>32.936100000000003</v>
      </c>
      <c r="E1932">
        <v>696.81600000000003</v>
      </c>
      <c r="G1932">
        <f t="shared" si="57"/>
        <v>0.912759924413035</v>
      </c>
    </row>
    <row r="1933" spans="1:7" x14ac:dyDescent="0.2">
      <c r="A1933">
        <v>31508.1</v>
      </c>
      <c r="C1933">
        <v>25.433599999999998</v>
      </c>
      <c r="E1933">
        <v>637.38599999999997</v>
      </c>
      <c r="G1933">
        <f t="shared" si="57"/>
        <v>0.97460059496272133</v>
      </c>
    </row>
    <row r="1934" spans="1:7" x14ac:dyDescent="0.2">
      <c r="A1934">
        <v>29103.3</v>
      </c>
      <c r="C1934">
        <v>27.999099999999999</v>
      </c>
      <c r="E1934">
        <v>615.23099999999999</v>
      </c>
      <c r="G1934">
        <f t="shared" si="57"/>
        <v>0.96621841969735023</v>
      </c>
    </row>
    <row r="1935" spans="1:7" x14ac:dyDescent="0.2">
      <c r="A1935">
        <v>38181</v>
      </c>
      <c r="C1935">
        <v>33.1999</v>
      </c>
      <c r="E1935">
        <v>705.47900000000004</v>
      </c>
      <c r="G1935">
        <f t="shared" si="57"/>
        <v>0.96402570625467643</v>
      </c>
    </row>
    <row r="1936" spans="1:7" x14ac:dyDescent="0.2">
      <c r="A1936">
        <v>35314.400000000001</v>
      </c>
      <c r="C1936">
        <v>26.5167</v>
      </c>
      <c r="E1936">
        <v>673.57600000000002</v>
      </c>
      <c r="G1936">
        <f t="shared" si="57"/>
        <v>0.9781109479956569</v>
      </c>
    </row>
    <row r="1937" spans="1:7" x14ac:dyDescent="0.2">
      <c r="A1937">
        <v>40284.1</v>
      </c>
      <c r="C1937">
        <v>68.488200000000006</v>
      </c>
      <c r="E1937">
        <v>779.78399999999999</v>
      </c>
      <c r="G1937">
        <f t="shared" si="57"/>
        <v>0.83251970722305457</v>
      </c>
    </row>
    <row r="1938" spans="1:7" x14ac:dyDescent="0.2">
      <c r="A1938">
        <v>45932.9</v>
      </c>
      <c r="C1938">
        <v>40.602600000000002</v>
      </c>
      <c r="E1938">
        <v>787.971</v>
      </c>
      <c r="G1938">
        <f t="shared" si="57"/>
        <v>0.92963591651115784</v>
      </c>
    </row>
    <row r="1939" spans="1:7" x14ac:dyDescent="0.2">
      <c r="A1939">
        <v>35982.800000000003</v>
      </c>
      <c r="C1939">
        <v>42.1496</v>
      </c>
      <c r="E1939">
        <v>690.64499999999998</v>
      </c>
      <c r="G1939">
        <f t="shared" si="57"/>
        <v>0.94797024975712674</v>
      </c>
    </row>
    <row r="1940" spans="1:7" x14ac:dyDescent="0.2">
      <c r="A1940">
        <v>32743.200000000001</v>
      </c>
      <c r="C1940">
        <v>47.334299999999999</v>
      </c>
      <c r="E1940">
        <v>701.06700000000001</v>
      </c>
      <c r="G1940">
        <f t="shared" si="57"/>
        <v>0.8371659737065813</v>
      </c>
    </row>
    <row r="1941" spans="1:7" x14ac:dyDescent="0.2">
      <c r="A1941">
        <v>35710.6</v>
      </c>
      <c r="C1941">
        <v>33.391800000000003</v>
      </c>
      <c r="E1941">
        <v>679.42</v>
      </c>
      <c r="G1941">
        <f t="shared" si="57"/>
        <v>0.97214263515967025</v>
      </c>
    </row>
    <row r="1942" spans="1:7" x14ac:dyDescent="0.2">
      <c r="A1942">
        <v>30085.5</v>
      </c>
      <c r="C1942">
        <v>24.7317</v>
      </c>
      <c r="E1942">
        <v>621.96900000000005</v>
      </c>
      <c r="G1942">
        <f t="shared" si="57"/>
        <v>0.9773030457591122</v>
      </c>
    </row>
    <row r="1943" spans="1:7" x14ac:dyDescent="0.2">
      <c r="A1943">
        <v>34339.800000000003</v>
      </c>
      <c r="C1943">
        <v>36.174199999999999</v>
      </c>
      <c r="E1943">
        <v>691.86400000000003</v>
      </c>
      <c r="G1943">
        <f t="shared" si="57"/>
        <v>0.901500126160246</v>
      </c>
    </row>
    <row r="1944" spans="1:7" x14ac:dyDescent="0.2">
      <c r="A1944">
        <v>43429.5</v>
      </c>
      <c r="C1944">
        <v>47.840699999999998</v>
      </c>
      <c r="E1944">
        <v>795.88699999999994</v>
      </c>
      <c r="G1944">
        <f t="shared" si="57"/>
        <v>0.86157185732278529</v>
      </c>
    </row>
    <row r="1945" spans="1:7" x14ac:dyDescent="0.2">
      <c r="A1945">
        <v>31825.5</v>
      </c>
      <c r="C1945">
        <v>34.036499999999997</v>
      </c>
      <c r="E1945">
        <v>645.74099999999999</v>
      </c>
      <c r="G1945">
        <f t="shared" si="57"/>
        <v>0.95910909382782417</v>
      </c>
    </row>
    <row r="1946" spans="1:7" x14ac:dyDescent="0.2">
      <c r="A1946">
        <v>28245.8</v>
      </c>
      <c r="C1946">
        <v>42.323599999999999</v>
      </c>
      <c r="E1946">
        <v>625.68100000000004</v>
      </c>
      <c r="G1946">
        <f t="shared" si="57"/>
        <v>0.90668711269681834</v>
      </c>
    </row>
    <row r="1947" spans="1:7" x14ac:dyDescent="0.2">
      <c r="A1947">
        <v>27259.1</v>
      </c>
      <c r="C1947">
        <v>27.015699999999999</v>
      </c>
      <c r="E1947">
        <v>600.61900000000003</v>
      </c>
      <c r="G1947">
        <f t="shared" si="57"/>
        <v>0.94956101699396667</v>
      </c>
    </row>
    <row r="1948" spans="1:7" x14ac:dyDescent="0.2">
      <c r="A1948">
        <v>41294.1</v>
      </c>
      <c r="C1948">
        <v>34.936199999999999</v>
      </c>
      <c r="E1948">
        <v>741.34299999999996</v>
      </c>
      <c r="G1948">
        <f t="shared" si="57"/>
        <v>0.94418939896416665</v>
      </c>
    </row>
    <row r="1949" spans="1:7" x14ac:dyDescent="0.2">
      <c r="A1949">
        <v>41593.300000000003</v>
      </c>
      <c r="C1949">
        <v>39.288899999999998</v>
      </c>
      <c r="E1949">
        <v>755.44100000000003</v>
      </c>
      <c r="G1949">
        <f t="shared" si="57"/>
        <v>0.91586565356285732</v>
      </c>
    </row>
    <row r="1950" spans="1:7" x14ac:dyDescent="0.2">
      <c r="A1950">
        <v>2718.79</v>
      </c>
      <c r="C1950">
        <v>279.48700000000002</v>
      </c>
      <c r="E1950">
        <v>1181.1500000000001</v>
      </c>
      <c r="G1950">
        <f t="shared" si="57"/>
        <v>2.4489225624141905E-2</v>
      </c>
    </row>
    <row r="1951" spans="1:7" x14ac:dyDescent="0.2">
      <c r="A1951">
        <v>36302.6</v>
      </c>
      <c r="C1951">
        <v>36.852400000000003</v>
      </c>
      <c r="E1951">
        <v>690.26800000000003</v>
      </c>
      <c r="G1951">
        <f t="shared" si="57"/>
        <v>0.95744039490264687</v>
      </c>
    </row>
    <row r="1952" spans="1:7" x14ac:dyDescent="0.2">
      <c r="A1952">
        <v>35446.1</v>
      </c>
      <c r="C1952">
        <v>28.164400000000001</v>
      </c>
      <c r="E1952">
        <v>676.61500000000001</v>
      </c>
      <c r="G1952">
        <f t="shared" si="57"/>
        <v>0.97295938720449848</v>
      </c>
    </row>
    <row r="1953" spans="1:7" x14ac:dyDescent="0.2">
      <c r="A1953">
        <v>42482.8</v>
      </c>
      <c r="C1953">
        <v>63.703600000000002</v>
      </c>
      <c r="E1953">
        <v>1078.96</v>
      </c>
      <c r="G1953">
        <f t="shared" si="57"/>
        <v>0.45857665398405423</v>
      </c>
    </row>
    <row r="1954" spans="1:7" x14ac:dyDescent="0.2">
      <c r="A1954">
        <v>35279</v>
      </c>
      <c r="C1954">
        <v>34.075099999999999</v>
      </c>
      <c r="E1954">
        <v>692.48500000000001</v>
      </c>
      <c r="G1954">
        <f t="shared" si="57"/>
        <v>0.92449597025535679</v>
      </c>
    </row>
    <row r="1955" spans="1:7" x14ac:dyDescent="0.2">
      <c r="A1955">
        <v>37838.1</v>
      </c>
      <c r="C1955">
        <v>36.815199999999997</v>
      </c>
      <c r="E1955">
        <v>714.86400000000003</v>
      </c>
      <c r="G1955">
        <f t="shared" si="57"/>
        <v>0.93044769440862229</v>
      </c>
    </row>
    <row r="1956" spans="1:7" x14ac:dyDescent="0.2">
      <c r="A1956">
        <v>36661</v>
      </c>
      <c r="C1956">
        <v>28.245100000000001</v>
      </c>
      <c r="E1956">
        <v>690.47500000000002</v>
      </c>
      <c r="G1956">
        <f t="shared" si="57"/>
        <v>0.96631314360421006</v>
      </c>
    </row>
    <row r="1957" spans="1:7" x14ac:dyDescent="0.2">
      <c r="A1957">
        <v>31314.6</v>
      </c>
      <c r="C1957">
        <v>44.838700000000003</v>
      </c>
      <c r="E1957">
        <v>658.52499999999998</v>
      </c>
      <c r="G1957">
        <f t="shared" si="57"/>
        <v>0.90742728087784941</v>
      </c>
    </row>
    <row r="1958" spans="1:7" x14ac:dyDescent="0.2">
      <c r="A1958">
        <v>33929.599999999999</v>
      </c>
      <c r="C1958">
        <v>55.3</v>
      </c>
      <c r="E1958">
        <v>678.80499999999995</v>
      </c>
      <c r="G1958">
        <f t="shared" si="57"/>
        <v>0.9253332579320187</v>
      </c>
    </row>
    <row r="1959" spans="1:7" x14ac:dyDescent="0.2">
      <c r="A1959">
        <v>38803.300000000003</v>
      </c>
      <c r="C1959">
        <v>33.477200000000003</v>
      </c>
      <c r="E1959">
        <v>732.75199999999995</v>
      </c>
      <c r="G1959">
        <f t="shared" si="57"/>
        <v>0.90816368916624635</v>
      </c>
    </row>
    <row r="1960" spans="1:7" x14ac:dyDescent="0.2">
      <c r="A1960">
        <v>33640.9</v>
      </c>
      <c r="C1960">
        <v>44.7209</v>
      </c>
      <c r="E1960">
        <v>707.89599999999996</v>
      </c>
      <c r="G1960">
        <f t="shared" si="57"/>
        <v>0.84360313801131648</v>
      </c>
    </row>
    <row r="1961" spans="1:7" x14ac:dyDescent="0.2">
      <c r="A1961">
        <v>40306</v>
      </c>
      <c r="C1961">
        <v>56.728900000000003</v>
      </c>
      <c r="E1961">
        <v>808.57799999999997</v>
      </c>
      <c r="G1961">
        <f t="shared" si="57"/>
        <v>0.77470321132566677</v>
      </c>
    </row>
    <row r="1962" spans="1:7" x14ac:dyDescent="0.2">
      <c r="A1962">
        <v>30871.9</v>
      </c>
      <c r="C1962">
        <v>29.1022</v>
      </c>
      <c r="E1962">
        <v>641.62800000000004</v>
      </c>
      <c r="G1962">
        <f t="shared" si="57"/>
        <v>0.94233699270078675</v>
      </c>
    </row>
    <row r="1963" spans="1:7" x14ac:dyDescent="0.2">
      <c r="A1963">
        <v>2535.12</v>
      </c>
      <c r="C1963">
        <v>53.825099999999999</v>
      </c>
      <c r="E1963">
        <v>584.31899999999996</v>
      </c>
      <c r="G1963">
        <f t="shared" si="57"/>
        <v>9.3305662779180648E-2</v>
      </c>
    </row>
    <row r="1964" spans="1:7" x14ac:dyDescent="0.2">
      <c r="A1964">
        <v>30677.3</v>
      </c>
      <c r="C1964">
        <v>26.908200000000001</v>
      </c>
      <c r="E1964">
        <v>631.67100000000005</v>
      </c>
      <c r="G1964">
        <f t="shared" si="57"/>
        <v>0.96615043288668045</v>
      </c>
    </row>
    <row r="1965" spans="1:7" x14ac:dyDescent="0.2">
      <c r="A1965">
        <v>25770.400000000001</v>
      </c>
      <c r="C1965">
        <v>31.8459</v>
      </c>
      <c r="E1965">
        <v>585.202</v>
      </c>
      <c r="G1965">
        <f t="shared" si="57"/>
        <v>0.94562523512495711</v>
      </c>
    </row>
    <row r="1966" spans="1:7" x14ac:dyDescent="0.2">
      <c r="A1966">
        <v>37480</v>
      </c>
      <c r="C1966">
        <v>68.048900000000003</v>
      </c>
      <c r="E1966">
        <v>770.83</v>
      </c>
      <c r="G1966">
        <f t="shared" si="57"/>
        <v>0.79266897831381367</v>
      </c>
    </row>
    <row r="1967" spans="1:7" x14ac:dyDescent="0.2">
      <c r="A1967">
        <v>32970.9</v>
      </c>
      <c r="C1967">
        <v>40.333199999999998</v>
      </c>
      <c r="E1967">
        <v>695.16200000000003</v>
      </c>
      <c r="G1967">
        <f t="shared" si="57"/>
        <v>0.85736993708555542</v>
      </c>
    </row>
    <row r="1968" spans="1:7" x14ac:dyDescent="0.2">
      <c r="A1968">
        <v>28414.9</v>
      </c>
      <c r="C1968">
        <v>36.134399999999999</v>
      </c>
      <c r="E1968">
        <v>607.02</v>
      </c>
      <c r="G1968">
        <f t="shared" si="57"/>
        <v>0.96905768140467863</v>
      </c>
    </row>
    <row r="1969" spans="1:7" x14ac:dyDescent="0.2">
      <c r="A1969">
        <v>30309.5</v>
      </c>
      <c r="C1969">
        <v>28.994</v>
      </c>
      <c r="E1969">
        <v>626.73199999999997</v>
      </c>
      <c r="G1969">
        <f t="shared" si="57"/>
        <v>0.96967127364963779</v>
      </c>
    </row>
    <row r="1970" spans="1:7" x14ac:dyDescent="0.2">
      <c r="A1970">
        <v>37370.199999999997</v>
      </c>
      <c r="C1970">
        <v>39.627400000000002</v>
      </c>
      <c r="E1970">
        <v>715.43100000000004</v>
      </c>
      <c r="G1970">
        <f t="shared" si="57"/>
        <v>0.9174859248644438</v>
      </c>
    </row>
    <row r="1971" spans="1:7" x14ac:dyDescent="0.2">
      <c r="A1971">
        <v>34460.699999999997</v>
      </c>
      <c r="C1971">
        <v>35.557400000000001</v>
      </c>
      <c r="E1971">
        <v>666.95699999999999</v>
      </c>
      <c r="G1971">
        <f t="shared" si="57"/>
        <v>0.97350440764285373</v>
      </c>
    </row>
    <row r="1972" spans="1:7" x14ac:dyDescent="0.2">
      <c r="A1972">
        <v>26993.1</v>
      </c>
      <c r="C1972">
        <v>24.785399999999999</v>
      </c>
      <c r="E1972">
        <v>588.60799999999995</v>
      </c>
      <c r="G1972">
        <f t="shared" si="57"/>
        <v>0.9790614253338662</v>
      </c>
    </row>
    <row r="1973" spans="1:7" x14ac:dyDescent="0.2">
      <c r="A1973">
        <v>35197.699999999997</v>
      </c>
      <c r="C1973">
        <v>31.372800000000002</v>
      </c>
      <c r="E1973">
        <v>685.39300000000003</v>
      </c>
      <c r="G1973">
        <f t="shared" si="57"/>
        <v>0.94155231023673625</v>
      </c>
    </row>
    <row r="1974" spans="1:7" x14ac:dyDescent="0.2">
      <c r="A1974">
        <v>40285.800000000003</v>
      </c>
      <c r="C1974">
        <v>30.407599999999999</v>
      </c>
      <c r="E1974">
        <v>731.15899999999999</v>
      </c>
      <c r="G1974">
        <f t="shared" si="57"/>
        <v>0.94697350701130878</v>
      </c>
    </row>
    <row r="1975" spans="1:7" x14ac:dyDescent="0.2">
      <c r="A1975">
        <v>31524.9</v>
      </c>
      <c r="C1975">
        <v>49.047699999999999</v>
      </c>
      <c r="E1975">
        <v>695.08199999999999</v>
      </c>
      <c r="G1975">
        <f t="shared" si="57"/>
        <v>0.81995709981961806</v>
      </c>
    </row>
    <row r="1976" spans="1:7" x14ac:dyDescent="0.2">
      <c r="A1976">
        <v>36320</v>
      </c>
      <c r="C1976">
        <v>44.497700000000002</v>
      </c>
      <c r="E1976">
        <v>701.24300000000005</v>
      </c>
      <c r="G1976">
        <f t="shared" si="57"/>
        <v>0.92815019224068629</v>
      </c>
    </row>
    <row r="1977" spans="1:7" x14ac:dyDescent="0.2">
      <c r="A1977">
        <v>33429.4</v>
      </c>
      <c r="C1977">
        <v>52.021599999999999</v>
      </c>
      <c r="E1977">
        <v>709.197</v>
      </c>
      <c r="G1977">
        <f t="shared" si="57"/>
        <v>0.83522656589251709</v>
      </c>
    </row>
    <row r="1978" spans="1:7" x14ac:dyDescent="0.2">
      <c r="A1978">
        <v>44095.5</v>
      </c>
      <c r="C1978">
        <v>34.160699999999999</v>
      </c>
      <c r="E1978">
        <v>794.55399999999997</v>
      </c>
      <c r="G1978">
        <f t="shared" si="57"/>
        <v>0.87772189469003936</v>
      </c>
    </row>
    <row r="1979" spans="1:7" x14ac:dyDescent="0.2">
      <c r="A1979">
        <v>35184.6</v>
      </c>
      <c r="C1979">
        <v>32.127800000000001</v>
      </c>
      <c r="E1979">
        <v>677.62400000000002</v>
      </c>
      <c r="G1979">
        <f t="shared" si="57"/>
        <v>0.96290747138408828</v>
      </c>
    </row>
    <row r="1980" spans="1:7" x14ac:dyDescent="0.2">
      <c r="A1980">
        <v>27785</v>
      </c>
      <c r="C1980">
        <v>48.378700000000002</v>
      </c>
      <c r="E1980">
        <v>647.85900000000004</v>
      </c>
      <c r="G1980">
        <f t="shared" si="57"/>
        <v>0.83187659527648172</v>
      </c>
    </row>
    <row r="1981" spans="1:7" x14ac:dyDescent="0.2">
      <c r="A1981">
        <v>28361.4</v>
      </c>
      <c r="C1981">
        <v>40.066899999999997</v>
      </c>
      <c r="E1981">
        <v>618.99</v>
      </c>
      <c r="G1981">
        <f t="shared" si="57"/>
        <v>0.93018620923385142</v>
      </c>
    </row>
    <row r="1982" spans="1:7" x14ac:dyDescent="0.2">
      <c r="A1982">
        <v>44226</v>
      </c>
      <c r="C1982">
        <v>47.734900000000003</v>
      </c>
      <c r="E1982">
        <v>791.15899999999999</v>
      </c>
      <c r="G1982">
        <f t="shared" si="57"/>
        <v>0.88789091662978825</v>
      </c>
    </row>
    <row r="1983" spans="1:7" x14ac:dyDescent="0.2">
      <c r="A1983">
        <v>33375.4</v>
      </c>
      <c r="C1983">
        <v>47.287700000000001</v>
      </c>
      <c r="E1983">
        <v>678.82299999999998</v>
      </c>
      <c r="G1983">
        <f t="shared" si="57"/>
        <v>0.91017075950737569</v>
      </c>
    </row>
    <row r="1984" spans="1:7" x14ac:dyDescent="0.2">
      <c r="A1984">
        <v>33515.5</v>
      </c>
      <c r="C1984">
        <v>33.340800000000002</v>
      </c>
      <c r="E1984">
        <v>672.02599999999995</v>
      </c>
      <c r="G1984">
        <f t="shared" si="57"/>
        <v>0.93257345278585213</v>
      </c>
    </row>
    <row r="1985" spans="1:7" x14ac:dyDescent="0.2">
      <c r="A1985">
        <v>38782</v>
      </c>
      <c r="C1985">
        <v>42.0593</v>
      </c>
      <c r="E1985">
        <v>783.18200000000002</v>
      </c>
      <c r="G1985">
        <f t="shared" si="57"/>
        <v>0.7945373257870364</v>
      </c>
    </row>
    <row r="1986" spans="1:7" x14ac:dyDescent="0.2">
      <c r="A1986">
        <v>41294.9</v>
      </c>
      <c r="C1986">
        <v>55.501399999999997</v>
      </c>
      <c r="E1986">
        <v>818.56899999999996</v>
      </c>
      <c r="G1986">
        <f t="shared" si="57"/>
        <v>0.7744534682418206</v>
      </c>
    </row>
    <row r="1987" spans="1:7" x14ac:dyDescent="0.2">
      <c r="A1987">
        <v>49050.7</v>
      </c>
      <c r="C1987">
        <v>37.727800000000002</v>
      </c>
      <c r="E1987">
        <v>799.77300000000002</v>
      </c>
      <c r="G1987">
        <f t="shared" ref="G1987:G2050" si="58" xml:space="preserve"> 3.14159*4*A1987/(E1987*E1987)</f>
        <v>0.96365422501622988</v>
      </c>
    </row>
    <row r="1988" spans="1:7" x14ac:dyDescent="0.2">
      <c r="A1988">
        <v>38505.800000000003</v>
      </c>
      <c r="C1988">
        <v>27.258099999999999</v>
      </c>
      <c r="E1988">
        <v>726.85599999999999</v>
      </c>
      <c r="G1988">
        <f t="shared" si="58"/>
        <v>0.91588065995500223</v>
      </c>
    </row>
    <row r="1989" spans="1:7" x14ac:dyDescent="0.2">
      <c r="A1989">
        <v>34141.5</v>
      </c>
      <c r="C1989">
        <v>39.622599999999998</v>
      </c>
      <c r="E1989">
        <v>682.95100000000002</v>
      </c>
      <c r="G1989">
        <f t="shared" si="58"/>
        <v>0.91984151052463381</v>
      </c>
    </row>
    <row r="1990" spans="1:7" x14ac:dyDescent="0.2">
      <c r="A1990">
        <v>30809.5</v>
      </c>
      <c r="C1990">
        <v>37.200000000000003</v>
      </c>
      <c r="E1990">
        <v>646.84400000000005</v>
      </c>
      <c r="G1990">
        <f t="shared" si="58"/>
        <v>0.92532658406010582</v>
      </c>
    </row>
    <row r="1991" spans="1:7" x14ac:dyDescent="0.2">
      <c r="A1991">
        <v>28407.8</v>
      </c>
      <c r="C1991">
        <v>36.505299999999998</v>
      </c>
      <c r="E1991">
        <v>633.57600000000002</v>
      </c>
      <c r="G1991">
        <f t="shared" si="58"/>
        <v>0.8893028077197962</v>
      </c>
    </row>
    <row r="1992" spans="1:7" x14ac:dyDescent="0.2">
      <c r="A1992">
        <v>30899.5</v>
      </c>
      <c r="C1992">
        <v>36.238300000000002</v>
      </c>
      <c r="E1992">
        <v>638.66200000000003</v>
      </c>
      <c r="G1992">
        <f t="shared" si="58"/>
        <v>0.95196020925715163</v>
      </c>
    </row>
    <row r="1993" spans="1:7" x14ac:dyDescent="0.2">
      <c r="A1993">
        <v>35266.9</v>
      </c>
      <c r="C1993">
        <v>31.592600000000001</v>
      </c>
      <c r="E1993">
        <v>679.92100000000005</v>
      </c>
      <c r="G1993">
        <f t="shared" si="58"/>
        <v>0.95864955192241919</v>
      </c>
    </row>
    <row r="1994" spans="1:7" x14ac:dyDescent="0.2">
      <c r="A1994">
        <v>34558.300000000003</v>
      </c>
      <c r="C1994">
        <v>30.505500000000001</v>
      </c>
      <c r="E1994">
        <v>672.97</v>
      </c>
      <c r="G1994">
        <f t="shared" si="58"/>
        <v>0.95889368543858677</v>
      </c>
    </row>
    <row r="1995" spans="1:7" x14ac:dyDescent="0.2">
      <c r="A1995">
        <v>34343.599999999999</v>
      </c>
      <c r="C1995">
        <v>32.687399999999997</v>
      </c>
      <c r="E1995">
        <v>668.69200000000001</v>
      </c>
      <c r="G1995">
        <f t="shared" si="58"/>
        <v>0.96516832222319127</v>
      </c>
    </row>
    <row r="1996" spans="1:7" x14ac:dyDescent="0.2">
      <c r="A1996">
        <v>27680</v>
      </c>
      <c r="C1996">
        <v>31.498899999999999</v>
      </c>
      <c r="E1996">
        <v>620.36800000000005</v>
      </c>
      <c r="G1996">
        <f t="shared" si="58"/>
        <v>0.90380930317716712</v>
      </c>
    </row>
    <row r="1997" spans="1:7" x14ac:dyDescent="0.2">
      <c r="A1997">
        <v>28809.7</v>
      </c>
      <c r="C1997">
        <v>29.604399999999998</v>
      </c>
      <c r="E1997">
        <v>613.59900000000005</v>
      </c>
      <c r="G1997">
        <f t="shared" si="58"/>
        <v>0.96156566363540286</v>
      </c>
    </row>
    <row r="1998" spans="1:7" x14ac:dyDescent="0.2">
      <c r="A1998">
        <v>44974.9</v>
      </c>
      <c r="C1998">
        <v>44.804400000000001</v>
      </c>
      <c r="E1998">
        <v>794.52099999999996</v>
      </c>
      <c r="G1998">
        <f t="shared" si="58"/>
        <v>0.89530073800938048</v>
      </c>
    </row>
    <row r="1999" spans="1:7" x14ac:dyDescent="0.2">
      <c r="A1999">
        <v>30733.1</v>
      </c>
      <c r="C1999">
        <v>30.646899999999999</v>
      </c>
      <c r="E1999">
        <v>641.45299999999997</v>
      </c>
      <c r="G1999">
        <f t="shared" si="58"/>
        <v>0.93861217879616299</v>
      </c>
    </row>
    <row r="2000" spans="1:7" x14ac:dyDescent="0.2">
      <c r="A2000">
        <v>29355.5</v>
      </c>
      <c r="C2000">
        <v>33.760199999999998</v>
      </c>
      <c r="E2000">
        <v>626.80399999999997</v>
      </c>
      <c r="G2000">
        <f t="shared" si="58"/>
        <v>0.93893485363314344</v>
      </c>
    </row>
    <row r="2001" spans="1:7" x14ac:dyDescent="0.2">
      <c r="A2001">
        <v>28689.8</v>
      </c>
      <c r="C2001">
        <v>28.8644</v>
      </c>
      <c r="E2001">
        <v>618.16</v>
      </c>
      <c r="G2001">
        <f t="shared" si="58"/>
        <v>0.94348547691911555</v>
      </c>
    </row>
    <row r="2002" spans="1:7" x14ac:dyDescent="0.2">
      <c r="A2002">
        <v>32703.8</v>
      </c>
      <c r="C2002">
        <v>36.9816</v>
      </c>
      <c r="E2002">
        <v>673.59900000000005</v>
      </c>
      <c r="G2002">
        <f t="shared" si="58"/>
        <v>0.90574271133582529</v>
      </c>
    </row>
    <row r="2003" spans="1:7" x14ac:dyDescent="0.2">
      <c r="A2003">
        <v>34337.599999999999</v>
      </c>
      <c r="C2003">
        <v>28.9818</v>
      </c>
      <c r="E2003">
        <v>700.96600000000001</v>
      </c>
      <c r="G2003">
        <f t="shared" si="58"/>
        <v>0.87818401549135983</v>
      </c>
    </row>
    <row r="2004" spans="1:7" x14ac:dyDescent="0.2">
      <c r="A2004">
        <v>47182.6</v>
      </c>
      <c r="C2004">
        <v>45.361899999999999</v>
      </c>
      <c r="E2004">
        <v>827.59699999999998</v>
      </c>
      <c r="G2004">
        <f t="shared" si="58"/>
        <v>0.86567235929382114</v>
      </c>
    </row>
    <row r="2005" spans="1:7" x14ac:dyDescent="0.2">
      <c r="A2005">
        <v>49041.5</v>
      </c>
      <c r="C2005">
        <v>70.511300000000006</v>
      </c>
      <c r="E2005">
        <v>1170.82</v>
      </c>
      <c r="G2005">
        <f t="shared" si="58"/>
        <v>0.44956550176592025</v>
      </c>
    </row>
    <row r="2006" spans="1:7" x14ac:dyDescent="0.2">
      <c r="A2006">
        <v>33264.6</v>
      </c>
      <c r="C2006">
        <v>29.973600000000001</v>
      </c>
      <c r="E2006">
        <v>662.06899999999996</v>
      </c>
      <c r="G2006">
        <f t="shared" si="58"/>
        <v>0.95364183745130338</v>
      </c>
    </row>
    <row r="2007" spans="1:7" x14ac:dyDescent="0.2">
      <c r="A2007">
        <v>35492.300000000003</v>
      </c>
      <c r="C2007">
        <v>38.760300000000001</v>
      </c>
      <c r="E2007">
        <v>728.85699999999997</v>
      </c>
      <c r="G2007">
        <f t="shared" si="58"/>
        <v>0.83957400351467049</v>
      </c>
    </row>
    <row r="2008" spans="1:7" x14ac:dyDescent="0.2">
      <c r="A2008">
        <v>31589.4</v>
      </c>
      <c r="C2008">
        <v>31.84</v>
      </c>
      <c r="E2008">
        <v>658.72299999999996</v>
      </c>
      <c r="G2008">
        <f t="shared" si="58"/>
        <v>0.91484015584924994</v>
      </c>
    </row>
    <row r="2009" spans="1:7" x14ac:dyDescent="0.2">
      <c r="A2009">
        <v>33776.400000000001</v>
      </c>
      <c r="C2009">
        <v>50.212000000000003</v>
      </c>
      <c r="E2009">
        <v>740.98699999999997</v>
      </c>
      <c r="G2009">
        <f t="shared" si="58"/>
        <v>0.77303948807577327</v>
      </c>
    </row>
    <row r="2010" spans="1:7" x14ac:dyDescent="0.2">
      <c r="A2010">
        <v>5012.6000000000004</v>
      </c>
      <c r="C2010">
        <v>98.947800000000001</v>
      </c>
      <c r="E2010">
        <v>1054.53</v>
      </c>
      <c r="G2010">
        <f t="shared" si="58"/>
        <v>5.6644098358672068E-2</v>
      </c>
    </row>
    <row r="2011" spans="1:7" x14ac:dyDescent="0.2">
      <c r="A2011">
        <v>39722.800000000003</v>
      </c>
      <c r="C2011">
        <v>39.313800000000001</v>
      </c>
      <c r="E2011">
        <v>731.10500000000002</v>
      </c>
      <c r="G2011">
        <f t="shared" si="58"/>
        <v>0.9338773510788364</v>
      </c>
    </row>
    <row r="2012" spans="1:7" x14ac:dyDescent="0.2">
      <c r="A2012">
        <v>35298.199999999997</v>
      </c>
      <c r="C2012">
        <v>21.554400000000001</v>
      </c>
      <c r="E2012">
        <v>675.63300000000004</v>
      </c>
      <c r="G2012">
        <f t="shared" si="58"/>
        <v>0.97171822745442815</v>
      </c>
    </row>
    <row r="2013" spans="1:7" x14ac:dyDescent="0.2">
      <c r="A2013">
        <v>40762.1</v>
      </c>
      <c r="C2013">
        <v>36.101999999999997</v>
      </c>
      <c r="E2013">
        <v>747.07299999999998</v>
      </c>
      <c r="G2013">
        <f t="shared" si="58"/>
        <v>0.91778290820685682</v>
      </c>
    </row>
    <row r="2014" spans="1:7" x14ac:dyDescent="0.2">
      <c r="A2014">
        <v>28801.3</v>
      </c>
      <c r="C2014">
        <v>133.934</v>
      </c>
      <c r="E2014">
        <v>971.91899999999998</v>
      </c>
      <c r="G2014">
        <f t="shared" si="58"/>
        <v>0.38314348365309481</v>
      </c>
    </row>
    <row r="2015" spans="1:7" x14ac:dyDescent="0.2">
      <c r="A2015">
        <v>37228.800000000003</v>
      </c>
      <c r="C2015">
        <v>35.082299999999996</v>
      </c>
      <c r="E2015">
        <v>746.90499999999997</v>
      </c>
      <c r="G2015">
        <f t="shared" si="58"/>
        <v>0.83860568360771637</v>
      </c>
    </row>
    <row r="2016" spans="1:7" x14ac:dyDescent="0.2">
      <c r="A2016">
        <v>36368.800000000003</v>
      </c>
      <c r="C2016">
        <v>42.817500000000003</v>
      </c>
      <c r="E2016">
        <v>699.14800000000002</v>
      </c>
      <c r="G2016">
        <f t="shared" si="58"/>
        <v>0.93497549722169937</v>
      </c>
    </row>
    <row r="2017" spans="1:7" x14ac:dyDescent="0.2">
      <c r="A2017">
        <v>33037.699999999997</v>
      </c>
      <c r="C2017">
        <v>25.381399999999999</v>
      </c>
      <c r="E2017">
        <v>686.02800000000002</v>
      </c>
      <c r="G2017">
        <f t="shared" si="58"/>
        <v>0.88213614849706445</v>
      </c>
    </row>
    <row r="2018" spans="1:7" x14ac:dyDescent="0.2">
      <c r="A2018">
        <v>41233.1</v>
      </c>
      <c r="C2018">
        <v>58.574199999999998</v>
      </c>
      <c r="E2018">
        <v>1036.6500000000001</v>
      </c>
      <c r="G2018">
        <f t="shared" si="58"/>
        <v>0.48216000219179711</v>
      </c>
    </row>
    <row r="2019" spans="1:7" x14ac:dyDescent="0.2">
      <c r="A2019">
        <v>36269.9</v>
      </c>
      <c r="C2019">
        <v>40.165599999999998</v>
      </c>
      <c r="E2019">
        <v>718.21900000000005</v>
      </c>
      <c r="G2019">
        <f t="shared" si="58"/>
        <v>0.8835722659788805</v>
      </c>
    </row>
    <row r="2020" spans="1:7" x14ac:dyDescent="0.2">
      <c r="A2020">
        <v>31846.2</v>
      </c>
      <c r="C2020">
        <v>54.473300000000002</v>
      </c>
      <c r="E2020">
        <v>711.245</v>
      </c>
      <c r="G2020">
        <f t="shared" si="58"/>
        <v>0.79109504203549474</v>
      </c>
    </row>
    <row r="2021" spans="1:7" x14ac:dyDescent="0.2">
      <c r="A2021">
        <v>33640.699999999997</v>
      </c>
      <c r="C2021">
        <v>75.472899999999996</v>
      </c>
      <c r="E2021">
        <v>756.45899999999995</v>
      </c>
      <c r="G2021">
        <f t="shared" si="58"/>
        <v>0.73876061251435698</v>
      </c>
    </row>
    <row r="2022" spans="1:7" x14ac:dyDescent="0.2">
      <c r="A2022">
        <v>34345.300000000003</v>
      </c>
      <c r="C2022">
        <v>102.163</v>
      </c>
      <c r="E2022">
        <v>948.625</v>
      </c>
      <c r="G2022">
        <f t="shared" si="58"/>
        <v>0.47960939267018604</v>
      </c>
    </row>
    <row r="2023" spans="1:7" x14ac:dyDescent="0.2">
      <c r="A2023">
        <v>33888.5</v>
      </c>
      <c r="C2023">
        <v>50.4953</v>
      </c>
      <c r="E2023">
        <v>768.12199999999996</v>
      </c>
      <c r="G2023">
        <f t="shared" si="58"/>
        <v>0.72177433502353605</v>
      </c>
    </row>
    <row r="2024" spans="1:7" x14ac:dyDescent="0.2">
      <c r="A2024">
        <v>33370.6</v>
      </c>
      <c r="C2024">
        <v>36.2044</v>
      </c>
      <c r="E2024">
        <v>716.49</v>
      </c>
      <c r="G2024">
        <f t="shared" si="58"/>
        <v>0.81687056261703905</v>
      </c>
    </row>
    <row r="2025" spans="1:7" x14ac:dyDescent="0.2">
      <c r="A2025">
        <v>11044.6</v>
      </c>
      <c r="C2025">
        <v>230.273</v>
      </c>
      <c r="E2025">
        <v>998.19600000000003</v>
      </c>
      <c r="G2025">
        <f t="shared" si="58"/>
        <v>0.13929253380210732</v>
      </c>
    </row>
    <row r="2026" spans="1:7" x14ac:dyDescent="0.2">
      <c r="A2026">
        <v>36915.199999999997</v>
      </c>
      <c r="C2026">
        <v>49.845700000000001</v>
      </c>
      <c r="E2026">
        <v>710.24599999999998</v>
      </c>
      <c r="G2026">
        <f t="shared" si="58"/>
        <v>0.91959611923299089</v>
      </c>
    </row>
    <row r="2027" spans="1:7" x14ac:dyDescent="0.2">
      <c r="A2027">
        <v>33073.699999999997</v>
      </c>
      <c r="C2027">
        <v>36.026400000000002</v>
      </c>
      <c r="E2027">
        <v>666.94899999999996</v>
      </c>
      <c r="G2027">
        <f t="shared" si="58"/>
        <v>0.93434448928778691</v>
      </c>
    </row>
    <row r="2028" spans="1:7" x14ac:dyDescent="0.2">
      <c r="A2028">
        <v>29920.9</v>
      </c>
      <c r="C2028">
        <v>31.565200000000001</v>
      </c>
      <c r="E2028">
        <v>647.56700000000001</v>
      </c>
      <c r="G2028">
        <f t="shared" si="58"/>
        <v>0.8966330270196925</v>
      </c>
    </row>
    <row r="2029" spans="1:7" x14ac:dyDescent="0.2">
      <c r="A2029">
        <v>31275.3</v>
      </c>
      <c r="C2029">
        <v>40.020800000000001</v>
      </c>
      <c r="E2029">
        <v>667.43700000000001</v>
      </c>
      <c r="G2029">
        <f t="shared" si="58"/>
        <v>0.88224747566732764</v>
      </c>
    </row>
    <row r="2030" spans="1:7" x14ac:dyDescent="0.2">
      <c r="A2030">
        <v>33253.699999999997</v>
      </c>
      <c r="C2030">
        <v>53.701500000000003</v>
      </c>
      <c r="E2030">
        <v>886.17200000000003</v>
      </c>
      <c r="G2030">
        <f t="shared" si="58"/>
        <v>0.53212470725054395</v>
      </c>
    </row>
    <row r="2031" spans="1:7" x14ac:dyDescent="0.2">
      <c r="A2031">
        <v>31306.799999999999</v>
      </c>
      <c r="C2031">
        <v>35.8949</v>
      </c>
      <c r="E2031">
        <v>664.64200000000005</v>
      </c>
      <c r="G2031">
        <f t="shared" si="58"/>
        <v>0.89057933303504233</v>
      </c>
    </row>
    <row r="2032" spans="1:7" x14ac:dyDescent="0.2">
      <c r="A2032">
        <v>32332.799999999999</v>
      </c>
      <c r="C2032">
        <v>43.811999999999998</v>
      </c>
      <c r="E2032">
        <v>680.04499999999996</v>
      </c>
      <c r="G2032">
        <f t="shared" si="58"/>
        <v>0.87857230580401358</v>
      </c>
    </row>
    <row r="2033" spans="1:7" x14ac:dyDescent="0.2">
      <c r="A2033">
        <v>23386.7</v>
      </c>
      <c r="C2033">
        <v>30.959800000000001</v>
      </c>
      <c r="E2033">
        <v>585.27</v>
      </c>
      <c r="G2033">
        <f t="shared" si="58"/>
        <v>0.85795777633233894</v>
      </c>
    </row>
    <row r="2034" spans="1:7" x14ac:dyDescent="0.2">
      <c r="A2034">
        <v>35664.699999999997</v>
      </c>
      <c r="C2034">
        <v>57.230699999999999</v>
      </c>
      <c r="E2034">
        <v>724.24199999999996</v>
      </c>
      <c r="G2034">
        <f t="shared" si="58"/>
        <v>0.85443820517264657</v>
      </c>
    </row>
    <row r="2035" spans="1:7" x14ac:dyDescent="0.2">
      <c r="A2035">
        <v>36418.9</v>
      </c>
      <c r="C2035">
        <v>66.0505</v>
      </c>
      <c r="E2035">
        <v>771.62</v>
      </c>
      <c r="G2035">
        <f t="shared" si="58"/>
        <v>0.76865130658768099</v>
      </c>
    </row>
    <row r="2036" spans="1:7" x14ac:dyDescent="0.2">
      <c r="A2036">
        <v>24864.9</v>
      </c>
      <c r="C2036">
        <v>30.3003</v>
      </c>
      <c r="E2036">
        <v>579.01099999999997</v>
      </c>
      <c r="G2036">
        <f t="shared" si="58"/>
        <v>0.93201432000506523</v>
      </c>
    </row>
    <row r="2037" spans="1:7" x14ac:dyDescent="0.2">
      <c r="A2037">
        <v>27396.2</v>
      </c>
      <c r="C2037">
        <v>41.052100000000003</v>
      </c>
      <c r="E2037">
        <v>676.14</v>
      </c>
      <c r="G2037">
        <f t="shared" si="58"/>
        <v>0.75305477500856233</v>
      </c>
    </row>
    <row r="2038" spans="1:7" x14ac:dyDescent="0.2">
      <c r="A2038">
        <v>19111.3</v>
      </c>
      <c r="C2038">
        <v>120.52</v>
      </c>
      <c r="E2038">
        <v>885.53899999999999</v>
      </c>
      <c r="G2038">
        <f t="shared" si="58"/>
        <v>0.30625581366828281</v>
      </c>
    </row>
    <row r="2039" spans="1:7" x14ac:dyDescent="0.2">
      <c r="A2039">
        <v>40590.199999999997</v>
      </c>
      <c r="C2039">
        <v>65.227900000000005</v>
      </c>
      <c r="E2039">
        <v>981.57500000000005</v>
      </c>
      <c r="G2039">
        <f t="shared" si="58"/>
        <v>0.52939972457314743</v>
      </c>
    </row>
    <row r="2040" spans="1:7" x14ac:dyDescent="0.2">
      <c r="A2040">
        <v>27625.200000000001</v>
      </c>
      <c r="C2040">
        <v>43.9983</v>
      </c>
      <c r="E2040">
        <v>649.39400000000001</v>
      </c>
      <c r="G2040">
        <f t="shared" si="58"/>
        <v>0.82318677517079519</v>
      </c>
    </row>
    <row r="2041" spans="1:7" x14ac:dyDescent="0.2">
      <c r="A2041">
        <v>42476.2</v>
      </c>
      <c r="C2041">
        <v>54.712499999999999</v>
      </c>
      <c r="E2041">
        <v>1236.43</v>
      </c>
      <c r="G2041">
        <f t="shared" si="58"/>
        <v>0.34915324785639479</v>
      </c>
    </row>
    <row r="2042" spans="1:7" x14ac:dyDescent="0.2">
      <c r="A2042">
        <v>1464.3</v>
      </c>
      <c r="C2042">
        <v>173.46100000000001</v>
      </c>
      <c r="E2042">
        <v>219.52099999999999</v>
      </c>
      <c r="G2042">
        <f t="shared" si="58"/>
        <v>0.38184526954646952</v>
      </c>
    </row>
    <row r="2043" spans="1:7" x14ac:dyDescent="0.2">
      <c r="A2043">
        <v>30730.7</v>
      </c>
      <c r="C2043">
        <v>56.514299999999999</v>
      </c>
      <c r="E2043">
        <v>768.31100000000004</v>
      </c>
      <c r="G2043">
        <f t="shared" si="58"/>
        <v>0.65419594521631519</v>
      </c>
    </row>
    <row r="2044" spans="1:7" x14ac:dyDescent="0.2">
      <c r="A2044">
        <v>48116.800000000003</v>
      </c>
      <c r="C2044">
        <v>149.05199999999999</v>
      </c>
      <c r="E2044">
        <v>1157.42</v>
      </c>
      <c r="G2044">
        <f t="shared" si="58"/>
        <v>0.45136124724173893</v>
      </c>
    </row>
    <row r="2045" spans="1:7" x14ac:dyDescent="0.2">
      <c r="A2045">
        <v>32186.3</v>
      </c>
      <c r="C2045">
        <v>28.350300000000001</v>
      </c>
      <c r="E2045">
        <v>666.01599999999996</v>
      </c>
      <c r="G2045">
        <f t="shared" si="58"/>
        <v>0.91182443667130786</v>
      </c>
    </row>
    <row r="2046" spans="1:7" x14ac:dyDescent="0.2">
      <c r="A2046">
        <v>33228.199999999997</v>
      </c>
      <c r="C2046">
        <v>54.272300000000001</v>
      </c>
      <c r="E2046">
        <v>751.14700000000005</v>
      </c>
      <c r="G2046">
        <f t="shared" si="58"/>
        <v>0.74005916077758149</v>
      </c>
    </row>
    <row r="2047" spans="1:7" x14ac:dyDescent="0.2">
      <c r="A2047">
        <v>31114.5</v>
      </c>
      <c r="C2047">
        <v>112.67400000000001</v>
      </c>
      <c r="E2047">
        <v>978.48299999999995</v>
      </c>
      <c r="G2047">
        <f t="shared" si="58"/>
        <v>0.40838121245671571</v>
      </c>
    </row>
    <row r="2048" spans="1:7" x14ac:dyDescent="0.2">
      <c r="A2048">
        <v>38835.4</v>
      </c>
      <c r="C2048">
        <v>61.408499999999997</v>
      </c>
      <c r="E2048">
        <v>823.67499999999995</v>
      </c>
      <c r="G2048">
        <f t="shared" si="58"/>
        <v>0.71932559022905274</v>
      </c>
    </row>
    <row r="2049" spans="1:7" x14ac:dyDescent="0.2">
      <c r="A2049">
        <v>41346.699999999997</v>
      </c>
      <c r="C2049">
        <v>84.158199999999994</v>
      </c>
      <c r="E2049">
        <v>1193.5999999999999</v>
      </c>
      <c r="G2049">
        <f t="shared" si="58"/>
        <v>0.36469745269284715</v>
      </c>
    </row>
    <row r="2050" spans="1:7" x14ac:dyDescent="0.2">
      <c r="A2050">
        <v>35086.699999999997</v>
      </c>
      <c r="C2050">
        <v>75.561700000000002</v>
      </c>
      <c r="E2050">
        <v>917.45600000000002</v>
      </c>
      <c r="G2050">
        <f t="shared" si="58"/>
        <v>0.52381934153081056</v>
      </c>
    </row>
    <row r="2051" spans="1:7" x14ac:dyDescent="0.2">
      <c r="A2051">
        <v>36531.1</v>
      </c>
      <c r="C2051">
        <v>58.124499999999998</v>
      </c>
      <c r="E2051">
        <v>755.44899999999996</v>
      </c>
      <c r="G2051">
        <f t="shared" ref="G2051:G2114" si="59" xml:space="preserve"> 3.14159*4*A2051/(E2051*E2051)</f>
        <v>0.80438126254066611</v>
      </c>
    </row>
    <row r="2052" spans="1:7" x14ac:dyDescent="0.2">
      <c r="A2052">
        <v>30966.3</v>
      </c>
      <c r="C2052">
        <v>55.246600000000001</v>
      </c>
      <c r="E2052">
        <v>771.38499999999999</v>
      </c>
      <c r="G2052">
        <f t="shared" si="59"/>
        <v>0.65396790532156257</v>
      </c>
    </row>
    <row r="2053" spans="1:7" x14ac:dyDescent="0.2">
      <c r="A2053">
        <v>37959.300000000003</v>
      </c>
      <c r="C2053">
        <v>57.244199999999999</v>
      </c>
      <c r="E2053">
        <v>787.99699999999996</v>
      </c>
      <c r="G2053">
        <f t="shared" si="59"/>
        <v>0.768207537598115</v>
      </c>
    </row>
    <row r="2054" spans="1:7" x14ac:dyDescent="0.2">
      <c r="A2054">
        <v>24523</v>
      </c>
      <c r="C2054">
        <v>29.506699999999999</v>
      </c>
      <c r="E2054">
        <v>572.70100000000002</v>
      </c>
      <c r="G2054">
        <f t="shared" si="59"/>
        <v>0.93956582656607146</v>
      </c>
    </row>
    <row r="2055" spans="1:7" x14ac:dyDescent="0.2">
      <c r="A2055">
        <v>32072.3</v>
      </c>
      <c r="C2055">
        <v>30.547599999999999</v>
      </c>
      <c r="E2055">
        <v>683.029</v>
      </c>
      <c r="G2055">
        <f t="shared" si="59"/>
        <v>0.86389570758775303</v>
      </c>
    </row>
    <row r="2056" spans="1:7" x14ac:dyDescent="0.2">
      <c r="A2056">
        <v>27719.4</v>
      </c>
      <c r="C2056">
        <v>33.985100000000003</v>
      </c>
      <c r="E2056">
        <v>620.96</v>
      </c>
      <c r="G2056">
        <f t="shared" si="59"/>
        <v>0.90337084854142102</v>
      </c>
    </row>
    <row r="2057" spans="1:7" x14ac:dyDescent="0.2">
      <c r="A2057">
        <v>29047.1</v>
      </c>
      <c r="C2057">
        <v>32.073300000000003</v>
      </c>
      <c r="E2057">
        <v>621.23400000000004</v>
      </c>
      <c r="G2057">
        <f t="shared" si="59"/>
        <v>0.94580551912545752</v>
      </c>
    </row>
    <row r="2058" spans="1:7" x14ac:dyDescent="0.2">
      <c r="A2058">
        <v>46158.1</v>
      </c>
      <c r="C2058">
        <v>94.836799999999997</v>
      </c>
      <c r="E2058">
        <v>1012.68</v>
      </c>
      <c r="G2058">
        <f t="shared" si="59"/>
        <v>0.56560462885847018</v>
      </c>
    </row>
    <row r="2059" spans="1:7" x14ac:dyDescent="0.2">
      <c r="A2059">
        <v>34399.800000000003</v>
      </c>
      <c r="C2059">
        <v>56.527900000000002</v>
      </c>
      <c r="E2059">
        <v>756.63499999999999</v>
      </c>
      <c r="G2059">
        <f t="shared" si="59"/>
        <v>0.7550792942686696</v>
      </c>
    </row>
    <row r="2060" spans="1:7" x14ac:dyDescent="0.2">
      <c r="A2060">
        <v>28913.1</v>
      </c>
      <c r="C2060">
        <v>180.696</v>
      </c>
      <c r="E2060">
        <v>1335.35</v>
      </c>
      <c r="G2060">
        <f t="shared" si="59"/>
        <v>0.20375765508115637</v>
      </c>
    </row>
    <row r="2061" spans="1:7" x14ac:dyDescent="0.2">
      <c r="A2061">
        <v>25520</v>
      </c>
      <c r="C2061">
        <v>27.7057</v>
      </c>
      <c r="E2061">
        <v>585.65499999999997</v>
      </c>
      <c r="G2061">
        <f t="shared" si="59"/>
        <v>0.93498890297491732</v>
      </c>
    </row>
    <row r="2062" spans="1:7" x14ac:dyDescent="0.2">
      <c r="A2062">
        <v>38409.800000000003</v>
      </c>
      <c r="C2062">
        <v>67.129300000000001</v>
      </c>
      <c r="E2062">
        <v>1030.1300000000001</v>
      </c>
      <c r="G2062">
        <f t="shared" si="59"/>
        <v>0.45484923933900723</v>
      </c>
    </row>
    <row r="2063" spans="1:7" x14ac:dyDescent="0.2">
      <c r="A2063">
        <v>26362.7</v>
      </c>
      <c r="C2063">
        <v>29.359300000000001</v>
      </c>
      <c r="E2063">
        <v>596.63400000000001</v>
      </c>
      <c r="G2063">
        <f t="shared" si="59"/>
        <v>0.93064358384727564</v>
      </c>
    </row>
    <row r="2064" spans="1:7" x14ac:dyDescent="0.2">
      <c r="A2064">
        <v>36459.9</v>
      </c>
      <c r="C2064">
        <v>73.829300000000003</v>
      </c>
      <c r="E2064">
        <v>962.94899999999996</v>
      </c>
      <c r="G2064">
        <f t="shared" si="59"/>
        <v>0.49410403144964804</v>
      </c>
    </row>
    <row r="2065" spans="1:7" x14ac:dyDescent="0.2">
      <c r="A2065">
        <v>48395.3</v>
      </c>
      <c r="C2065">
        <v>111.985</v>
      </c>
      <c r="E2065">
        <v>1173.6099999999999</v>
      </c>
      <c r="G2065">
        <f t="shared" si="59"/>
        <v>0.4415349446192357</v>
      </c>
    </row>
    <row r="2066" spans="1:7" x14ac:dyDescent="0.2">
      <c r="A2066">
        <v>27880.799999999999</v>
      </c>
      <c r="C2066">
        <v>63.526400000000002</v>
      </c>
      <c r="E2066">
        <v>652.36300000000006</v>
      </c>
      <c r="G2066">
        <f t="shared" si="59"/>
        <v>0.82325823909935181</v>
      </c>
    </row>
    <row r="2067" spans="1:7" x14ac:dyDescent="0.2">
      <c r="A2067">
        <v>30714.5</v>
      </c>
      <c r="C2067">
        <v>49.3018</v>
      </c>
      <c r="E2067">
        <v>689.88099999999997</v>
      </c>
      <c r="G2067">
        <f t="shared" si="59"/>
        <v>0.81096960757154968</v>
      </c>
    </row>
    <row r="2068" spans="1:7" x14ac:dyDescent="0.2">
      <c r="A2068">
        <v>29606.6</v>
      </c>
      <c r="C2068">
        <v>29.553699999999999</v>
      </c>
      <c r="E2068">
        <v>629.53899999999999</v>
      </c>
      <c r="G2068">
        <f t="shared" si="59"/>
        <v>0.93875606025644709</v>
      </c>
    </row>
    <row r="2069" spans="1:7" x14ac:dyDescent="0.2">
      <c r="A2069">
        <v>31608.799999999999</v>
      </c>
      <c r="C2069">
        <v>74.4268</v>
      </c>
      <c r="E2069">
        <v>755.58600000000001</v>
      </c>
      <c r="G2069">
        <f t="shared" si="59"/>
        <v>0.69574437031472225</v>
      </c>
    </row>
    <row r="2070" spans="1:7" x14ac:dyDescent="0.2">
      <c r="A2070">
        <v>36466.5</v>
      </c>
      <c r="C2070">
        <v>61.195</v>
      </c>
      <c r="E2070">
        <v>852.16499999999996</v>
      </c>
      <c r="G2070">
        <f t="shared" si="59"/>
        <v>0.63103898978046258</v>
      </c>
    </row>
    <row r="2071" spans="1:7" x14ac:dyDescent="0.2">
      <c r="A2071">
        <v>32913.300000000003</v>
      </c>
      <c r="C2071">
        <v>46.996600000000001</v>
      </c>
      <c r="E2071">
        <v>675.52099999999996</v>
      </c>
      <c r="G2071">
        <f t="shared" si="59"/>
        <v>0.90636518761836116</v>
      </c>
    </row>
    <row r="2072" spans="1:7" x14ac:dyDescent="0.2">
      <c r="A2072">
        <v>30530.2</v>
      </c>
      <c r="C2072">
        <v>33.663699999999999</v>
      </c>
      <c r="E2072">
        <v>635.55399999999997</v>
      </c>
      <c r="G2072">
        <f t="shared" si="59"/>
        <v>0.94980452376455959</v>
      </c>
    </row>
    <row r="2073" spans="1:7" x14ac:dyDescent="0.2">
      <c r="A2073">
        <v>46242.8</v>
      </c>
      <c r="C2073">
        <v>67.807699999999997</v>
      </c>
      <c r="E2073">
        <v>968.70399999999995</v>
      </c>
      <c r="G2073">
        <f t="shared" si="59"/>
        <v>0.61925772626048259</v>
      </c>
    </row>
    <row r="2074" spans="1:7" x14ac:dyDescent="0.2">
      <c r="A2074">
        <v>20110.8</v>
      </c>
      <c r="C2074">
        <v>112.551</v>
      </c>
      <c r="E2074">
        <v>711.94600000000003</v>
      </c>
      <c r="G2074">
        <f t="shared" si="59"/>
        <v>0.49859134522588311</v>
      </c>
    </row>
    <row r="2075" spans="1:7" x14ac:dyDescent="0.2">
      <c r="A2075">
        <v>30476.5</v>
      </c>
      <c r="C2075">
        <v>39.953299999999999</v>
      </c>
      <c r="E2075">
        <v>665.92899999999997</v>
      </c>
      <c r="G2075">
        <f t="shared" si="59"/>
        <v>0.86361212499079232</v>
      </c>
    </row>
    <row r="2076" spans="1:7" x14ac:dyDescent="0.2">
      <c r="A2076">
        <v>26764.7</v>
      </c>
      <c r="C2076">
        <v>28.950600000000001</v>
      </c>
      <c r="E2076">
        <v>601.37400000000002</v>
      </c>
      <c r="G2076">
        <f t="shared" si="59"/>
        <v>0.92999921406846564</v>
      </c>
    </row>
    <row r="2077" spans="1:7" x14ac:dyDescent="0.2">
      <c r="A2077">
        <v>40155.300000000003</v>
      </c>
      <c r="C2077">
        <v>35.945900000000002</v>
      </c>
      <c r="E2077">
        <v>728.51199999999994</v>
      </c>
      <c r="G2077">
        <f t="shared" si="59"/>
        <v>0.95077762417413025</v>
      </c>
    </row>
    <row r="2078" spans="1:7" x14ac:dyDescent="0.2">
      <c r="A2078">
        <v>30628.3</v>
      </c>
      <c r="C2078">
        <v>60.3887</v>
      </c>
      <c r="E2078">
        <v>759.78599999999994</v>
      </c>
      <c r="G2078">
        <f t="shared" si="59"/>
        <v>0.66672972177691359</v>
      </c>
    </row>
    <row r="2079" spans="1:7" x14ac:dyDescent="0.2">
      <c r="A2079">
        <v>28607.7</v>
      </c>
      <c r="C2079">
        <v>49.433199999999999</v>
      </c>
      <c r="E2079">
        <v>654.649</v>
      </c>
      <c r="G2079">
        <f t="shared" si="59"/>
        <v>0.83883283573954237</v>
      </c>
    </row>
    <row r="2080" spans="1:7" x14ac:dyDescent="0.2">
      <c r="A2080">
        <v>41602.800000000003</v>
      </c>
      <c r="C2080">
        <v>66.450500000000005</v>
      </c>
      <c r="E2080">
        <v>1009.75</v>
      </c>
      <c r="G2080">
        <f t="shared" si="59"/>
        <v>0.51274842438539181</v>
      </c>
    </row>
    <row r="2081" spans="1:7" x14ac:dyDescent="0.2">
      <c r="A2081">
        <v>14297.9</v>
      </c>
      <c r="C2081">
        <v>130.886</v>
      </c>
      <c r="E2081">
        <v>887.44899999999996</v>
      </c>
      <c r="G2081">
        <f t="shared" si="59"/>
        <v>0.22813658891848898</v>
      </c>
    </row>
    <row r="2082" spans="1:7" x14ac:dyDescent="0.2">
      <c r="A2082">
        <v>27891.7</v>
      </c>
      <c r="C2082">
        <v>34.660200000000003</v>
      </c>
      <c r="E2082">
        <v>624.63599999999997</v>
      </c>
      <c r="G2082">
        <f t="shared" si="59"/>
        <v>0.89831874359474018</v>
      </c>
    </row>
    <row r="2083" spans="1:7" x14ac:dyDescent="0.2">
      <c r="A2083">
        <v>33872.400000000001</v>
      </c>
      <c r="C2083">
        <v>31.808900000000001</v>
      </c>
      <c r="E2083">
        <v>694.31799999999998</v>
      </c>
      <c r="G2083">
        <f t="shared" si="59"/>
        <v>0.88295509663661964</v>
      </c>
    </row>
    <row r="2084" spans="1:7" x14ac:dyDescent="0.2">
      <c r="A2084">
        <v>40452.699999999997</v>
      </c>
      <c r="C2084">
        <v>35.978400000000001</v>
      </c>
      <c r="E2084">
        <v>753.35799999999995</v>
      </c>
      <c r="G2084">
        <f t="shared" si="59"/>
        <v>0.89568273311979552</v>
      </c>
    </row>
    <row r="2085" spans="1:7" x14ac:dyDescent="0.2">
      <c r="A2085">
        <v>19466.2</v>
      </c>
      <c r="C2085">
        <v>106.503</v>
      </c>
      <c r="E2085">
        <v>854.65499999999997</v>
      </c>
      <c r="G2085">
        <f t="shared" si="59"/>
        <v>0.33489526162674083</v>
      </c>
    </row>
    <row r="2086" spans="1:7" x14ac:dyDescent="0.2">
      <c r="A2086">
        <v>28012.7</v>
      </c>
      <c r="C2086">
        <v>40.4437</v>
      </c>
      <c r="E2086">
        <v>636.40800000000002</v>
      </c>
      <c r="G2086">
        <f t="shared" si="59"/>
        <v>0.86914694258200309</v>
      </c>
    </row>
    <row r="2087" spans="1:7" x14ac:dyDescent="0.2">
      <c r="A2087">
        <v>34001.699999999997</v>
      </c>
      <c r="C2087">
        <v>74.2941</v>
      </c>
      <c r="E2087">
        <v>1204.8399999999999</v>
      </c>
      <c r="G2087">
        <f t="shared" si="59"/>
        <v>0.29434141514542789</v>
      </c>
    </row>
    <row r="2088" spans="1:7" x14ac:dyDescent="0.2">
      <c r="A2088">
        <v>10400.200000000001</v>
      </c>
      <c r="C2088">
        <v>31.562000000000001</v>
      </c>
      <c r="E2088">
        <v>392.57299999999998</v>
      </c>
      <c r="G2088">
        <f t="shared" si="59"/>
        <v>0.84802827858235663</v>
      </c>
    </row>
    <row r="2089" spans="1:7" x14ac:dyDescent="0.2">
      <c r="A2089">
        <v>40544.1</v>
      </c>
      <c r="C2089">
        <v>62.064</v>
      </c>
      <c r="E2089">
        <v>819.79499999999996</v>
      </c>
      <c r="G2089">
        <f t="shared" si="59"/>
        <v>0.7581002348539494</v>
      </c>
    </row>
    <row r="2090" spans="1:7" x14ac:dyDescent="0.2">
      <c r="A2090">
        <v>36902.400000000001</v>
      </c>
      <c r="C2090">
        <v>50.515500000000003</v>
      </c>
      <c r="E2090">
        <v>726.97799999999995</v>
      </c>
      <c r="G2090">
        <f t="shared" si="59"/>
        <v>0.87744837210038007</v>
      </c>
    </row>
    <row r="2091" spans="1:7" x14ac:dyDescent="0.2">
      <c r="A2091">
        <v>22686.1</v>
      </c>
      <c r="C2091">
        <v>32.766100000000002</v>
      </c>
      <c r="E2091">
        <v>555.56899999999996</v>
      </c>
      <c r="G2091">
        <f t="shared" si="59"/>
        <v>0.92362000294198876</v>
      </c>
    </row>
    <row r="2092" spans="1:7" x14ac:dyDescent="0.2">
      <c r="A2092">
        <v>26906.3</v>
      </c>
      <c r="C2092">
        <v>96.8035</v>
      </c>
      <c r="E2092">
        <v>700.721</v>
      </c>
      <c r="G2092">
        <f t="shared" si="59"/>
        <v>0.68860981907960017</v>
      </c>
    </row>
    <row r="2093" spans="1:7" x14ac:dyDescent="0.2">
      <c r="A2093">
        <v>31962.3</v>
      </c>
      <c r="C2093">
        <v>29.25</v>
      </c>
      <c r="E2093">
        <v>641.18100000000004</v>
      </c>
      <c r="G2093">
        <f t="shared" si="59"/>
        <v>0.97698125621886012</v>
      </c>
    </row>
    <row r="2094" spans="1:7" x14ac:dyDescent="0.2">
      <c r="A2094">
        <v>27922.9</v>
      </c>
      <c r="C2094">
        <v>34.746299999999998</v>
      </c>
      <c r="E2094">
        <v>628.029</v>
      </c>
      <c r="G2094">
        <f t="shared" si="59"/>
        <v>0.8896324620750854</v>
      </c>
    </row>
    <row r="2095" spans="1:7" x14ac:dyDescent="0.2">
      <c r="A2095">
        <v>30601.8</v>
      </c>
      <c r="C2095">
        <v>31.498899999999999</v>
      </c>
      <c r="E2095">
        <v>632.26099999999997</v>
      </c>
      <c r="G2095">
        <f t="shared" si="59"/>
        <v>0.9619747701508794</v>
      </c>
    </row>
    <row r="2096" spans="1:7" x14ac:dyDescent="0.2">
      <c r="A2096">
        <v>29221.4</v>
      </c>
      <c r="C2096">
        <v>33.333100000000002</v>
      </c>
      <c r="E2096">
        <v>616.50199999999995</v>
      </c>
      <c r="G2096">
        <f t="shared" si="59"/>
        <v>0.96614327826041313</v>
      </c>
    </row>
    <row r="2097" spans="1:7" x14ac:dyDescent="0.2">
      <c r="A2097">
        <v>27035.5</v>
      </c>
      <c r="C2097">
        <v>171.95</v>
      </c>
      <c r="E2097">
        <v>703.39400000000001</v>
      </c>
      <c r="G2097">
        <f t="shared" si="59"/>
        <v>0.68666764471978847</v>
      </c>
    </row>
    <row r="2098" spans="1:7" x14ac:dyDescent="0.2">
      <c r="A2098">
        <v>18087.099999999999</v>
      </c>
      <c r="C2098">
        <v>240.52</v>
      </c>
      <c r="E2098">
        <v>933.98</v>
      </c>
      <c r="G2098">
        <f t="shared" si="59"/>
        <v>0.26055732324116909</v>
      </c>
    </row>
    <row r="2099" spans="1:7" x14ac:dyDescent="0.2">
      <c r="A2099">
        <v>37181</v>
      </c>
      <c r="C2099">
        <v>40.827100000000002</v>
      </c>
      <c r="E2099">
        <v>722.50400000000002</v>
      </c>
      <c r="G2099">
        <f t="shared" si="59"/>
        <v>0.89505567744421344</v>
      </c>
    </row>
    <row r="2100" spans="1:7" x14ac:dyDescent="0.2">
      <c r="A2100">
        <v>42913.599999999999</v>
      </c>
      <c r="C2100">
        <v>41.009300000000003</v>
      </c>
      <c r="E2100">
        <v>797.23299999999995</v>
      </c>
      <c r="G2100">
        <f t="shared" si="59"/>
        <v>0.84846496011638484</v>
      </c>
    </row>
    <row r="2101" spans="1:7" x14ac:dyDescent="0.2">
      <c r="A2101">
        <v>28524</v>
      </c>
      <c r="C2101">
        <v>59.544699999999999</v>
      </c>
      <c r="E2101">
        <v>787.58199999999999</v>
      </c>
      <c r="G2101">
        <f t="shared" si="59"/>
        <v>0.57786762150845095</v>
      </c>
    </row>
    <row r="2102" spans="1:7" x14ac:dyDescent="0.2">
      <c r="A2102">
        <v>10232.200000000001</v>
      </c>
      <c r="C2102">
        <v>620.28099999999995</v>
      </c>
      <c r="E2102">
        <v>1392.73</v>
      </c>
      <c r="G2102">
        <f t="shared" si="59"/>
        <v>6.6289486730754077E-2</v>
      </c>
    </row>
    <row r="2103" spans="1:7" x14ac:dyDescent="0.2">
      <c r="A2103">
        <v>39109</v>
      </c>
      <c r="C2103">
        <v>57.675400000000003</v>
      </c>
      <c r="E2103">
        <v>853.64</v>
      </c>
      <c r="G2103">
        <f t="shared" si="59"/>
        <v>0.67442971109185268</v>
      </c>
    </row>
    <row r="2104" spans="1:7" x14ac:dyDescent="0.2">
      <c r="A2104">
        <v>32062.6</v>
      </c>
      <c r="C2104">
        <v>37.812899999999999</v>
      </c>
      <c r="E2104">
        <v>671.524</v>
      </c>
      <c r="G2104">
        <f t="shared" si="59"/>
        <v>0.89348066048927755</v>
      </c>
    </row>
    <row r="2105" spans="1:7" x14ac:dyDescent="0.2">
      <c r="A2105">
        <v>24546.5</v>
      </c>
      <c r="C2105">
        <v>34.616999999999997</v>
      </c>
      <c r="E2105">
        <v>568.20500000000004</v>
      </c>
      <c r="G2105">
        <f t="shared" si="59"/>
        <v>0.95540821551942678</v>
      </c>
    </row>
    <row r="2106" spans="1:7" x14ac:dyDescent="0.2">
      <c r="A2106">
        <v>23352.799999999999</v>
      </c>
      <c r="C2106">
        <v>64.114900000000006</v>
      </c>
      <c r="E2106">
        <v>675.88599999999997</v>
      </c>
      <c r="G2106">
        <f t="shared" si="59"/>
        <v>0.64239411780932865</v>
      </c>
    </row>
    <row r="2107" spans="1:7" x14ac:dyDescent="0.2">
      <c r="A2107">
        <v>29522.6</v>
      </c>
      <c r="C2107">
        <v>53.388399999999997</v>
      </c>
      <c r="E2107">
        <v>655.22699999999998</v>
      </c>
      <c r="G2107">
        <f t="shared" si="59"/>
        <v>0.86413287807038075</v>
      </c>
    </row>
    <row r="2108" spans="1:7" x14ac:dyDescent="0.2">
      <c r="A2108">
        <v>26811.1</v>
      </c>
      <c r="C2108">
        <v>34.345399999999998</v>
      </c>
      <c r="E2108">
        <v>599.601</v>
      </c>
      <c r="G2108">
        <f t="shared" si="59"/>
        <v>0.93712911896185003</v>
      </c>
    </row>
    <row r="2109" spans="1:7" x14ac:dyDescent="0.2">
      <c r="A2109">
        <v>26380.5</v>
      </c>
      <c r="C2109">
        <v>41.762599999999999</v>
      </c>
      <c r="E2109">
        <v>665.27599999999995</v>
      </c>
      <c r="G2109">
        <f t="shared" si="59"/>
        <v>0.74901205399621662</v>
      </c>
    </row>
    <row r="2110" spans="1:7" x14ac:dyDescent="0.2">
      <c r="A2110">
        <v>36088.6</v>
      </c>
      <c r="C2110">
        <v>253.63800000000001</v>
      </c>
      <c r="E2110">
        <v>1128.52</v>
      </c>
      <c r="G2110">
        <f t="shared" si="59"/>
        <v>0.35609101161398277</v>
      </c>
    </row>
    <row r="2111" spans="1:7" x14ac:dyDescent="0.2">
      <c r="A2111">
        <v>34310.699999999997</v>
      </c>
      <c r="C2111">
        <v>89.307900000000004</v>
      </c>
      <c r="E2111">
        <v>836.72500000000002</v>
      </c>
      <c r="G2111">
        <f t="shared" si="59"/>
        <v>0.61584807083656168</v>
      </c>
    </row>
    <row r="2112" spans="1:7" x14ac:dyDescent="0.2">
      <c r="A2112">
        <v>27165.9</v>
      </c>
      <c r="C2112">
        <v>32.996600000000001</v>
      </c>
      <c r="E2112">
        <v>602.327</v>
      </c>
      <c r="G2112">
        <f t="shared" si="59"/>
        <v>0.94095516862693296</v>
      </c>
    </row>
    <row r="2113" spans="1:7" x14ac:dyDescent="0.2">
      <c r="A2113">
        <v>30557.9</v>
      </c>
      <c r="C2113">
        <v>37.895400000000002</v>
      </c>
      <c r="E2113">
        <v>661.79700000000003</v>
      </c>
      <c r="G2113">
        <f t="shared" si="59"/>
        <v>0.87676542316537964</v>
      </c>
    </row>
    <row r="2114" spans="1:7" x14ac:dyDescent="0.2">
      <c r="A2114">
        <v>34262.9</v>
      </c>
      <c r="C2114">
        <v>31.475200000000001</v>
      </c>
      <c r="E2114">
        <v>674.74900000000002</v>
      </c>
      <c r="G2114">
        <f t="shared" si="59"/>
        <v>0.94569069686073337</v>
      </c>
    </row>
    <row r="2115" spans="1:7" x14ac:dyDescent="0.2">
      <c r="A2115">
        <v>27832.3</v>
      </c>
      <c r="C2115">
        <v>32.432200000000002</v>
      </c>
      <c r="E2115">
        <v>612.46900000000005</v>
      </c>
      <c r="G2115">
        <f t="shared" ref="G2115:G2178" si="60" xml:space="preserve"> 3.14159*4*A2115/(E2115*E2115)</f>
        <v>0.93237446384607114</v>
      </c>
    </row>
    <row r="2116" spans="1:7" x14ac:dyDescent="0.2">
      <c r="A2116">
        <v>24651.7</v>
      </c>
      <c r="C2116">
        <v>44.7455</v>
      </c>
      <c r="E2116">
        <v>611.93200000000002</v>
      </c>
      <c r="G2116">
        <f t="shared" si="60"/>
        <v>0.82727527009365942</v>
      </c>
    </row>
    <row r="2117" spans="1:7" x14ac:dyDescent="0.2">
      <c r="A2117">
        <v>33960.1</v>
      </c>
      <c r="C2117">
        <v>55.855800000000002</v>
      </c>
      <c r="E2117">
        <v>855.01800000000003</v>
      </c>
      <c r="G2117">
        <f t="shared" si="60"/>
        <v>0.58375140956667415</v>
      </c>
    </row>
    <row r="2118" spans="1:7" x14ac:dyDescent="0.2">
      <c r="A2118">
        <v>38748.5</v>
      </c>
      <c r="C2118">
        <v>74.301699999999997</v>
      </c>
      <c r="E2118">
        <v>1071.56</v>
      </c>
      <c r="G2118">
        <f t="shared" si="60"/>
        <v>0.42406399965185848</v>
      </c>
    </row>
    <row r="2119" spans="1:7" x14ac:dyDescent="0.2">
      <c r="A2119">
        <v>24785</v>
      </c>
      <c r="C2119">
        <v>26.609500000000001</v>
      </c>
      <c r="E2119">
        <v>573.12699999999995</v>
      </c>
      <c r="G2119">
        <f t="shared" si="60"/>
        <v>0.94819286575517103</v>
      </c>
    </row>
    <row r="2120" spans="1:7" x14ac:dyDescent="0.2">
      <c r="A2120">
        <v>36175.699999999997</v>
      </c>
      <c r="C2120">
        <v>47.089700000000001</v>
      </c>
      <c r="E2120">
        <v>693.45399999999995</v>
      </c>
      <c r="G2120">
        <f t="shared" si="60"/>
        <v>0.94534672814375409</v>
      </c>
    </row>
    <row r="2121" spans="1:7" x14ac:dyDescent="0.2">
      <c r="A2121">
        <v>43173.3</v>
      </c>
      <c r="C2121">
        <v>43.918199999999999</v>
      </c>
      <c r="E2121">
        <v>795.154</v>
      </c>
      <c r="G2121">
        <f t="shared" si="60"/>
        <v>0.85806906854303311</v>
      </c>
    </row>
    <row r="2122" spans="1:7" x14ac:dyDescent="0.2">
      <c r="A2122">
        <v>30494.1</v>
      </c>
      <c r="C2122">
        <v>75.457700000000003</v>
      </c>
      <c r="E2122">
        <v>779.947</v>
      </c>
      <c r="G2122">
        <f t="shared" si="60"/>
        <v>0.62993412172863161</v>
      </c>
    </row>
    <row r="2123" spans="1:7" x14ac:dyDescent="0.2">
      <c r="A2123">
        <v>39706.5</v>
      </c>
      <c r="C2123">
        <v>48.074800000000003</v>
      </c>
      <c r="E2123">
        <v>851.577</v>
      </c>
      <c r="G2123">
        <f t="shared" si="60"/>
        <v>0.68805516278167567</v>
      </c>
    </row>
    <row r="2124" spans="1:7" x14ac:dyDescent="0.2">
      <c r="A2124">
        <v>28579.4</v>
      </c>
      <c r="C2124">
        <v>32.2117</v>
      </c>
      <c r="E2124">
        <v>611.82100000000003</v>
      </c>
      <c r="G2124">
        <f t="shared" si="60"/>
        <v>0.95943121711951174</v>
      </c>
    </row>
    <row r="2125" spans="1:7" x14ac:dyDescent="0.2">
      <c r="A2125">
        <v>46993.8</v>
      </c>
      <c r="C2125">
        <v>81.488900000000001</v>
      </c>
      <c r="E2125">
        <v>1189.03</v>
      </c>
      <c r="G2125">
        <f t="shared" si="60"/>
        <v>0.41769996305968815</v>
      </c>
    </row>
    <row r="2126" spans="1:7" x14ac:dyDescent="0.2">
      <c r="A2126">
        <v>30626.799999999999</v>
      </c>
      <c r="C2126">
        <v>42.089300000000001</v>
      </c>
      <c r="E2126">
        <v>672.95399999999995</v>
      </c>
      <c r="G2126">
        <f t="shared" si="60"/>
        <v>0.8498462490370029</v>
      </c>
    </row>
    <row r="2127" spans="1:7" x14ac:dyDescent="0.2">
      <c r="A2127">
        <v>43314.5</v>
      </c>
      <c r="C2127">
        <v>29.5046</v>
      </c>
      <c r="E2127">
        <v>766.44100000000003</v>
      </c>
      <c r="G2127">
        <f t="shared" si="60"/>
        <v>0.92658516991215234</v>
      </c>
    </row>
    <row r="2128" spans="1:7" x14ac:dyDescent="0.2">
      <c r="A2128">
        <v>31510.3</v>
      </c>
      <c r="C2128">
        <v>40.585799999999999</v>
      </c>
      <c r="E2128">
        <v>677.15599999999995</v>
      </c>
      <c r="G2128">
        <f t="shared" si="60"/>
        <v>0.86354420346946115</v>
      </c>
    </row>
    <row r="2129" spans="1:7" x14ac:dyDescent="0.2">
      <c r="A2129">
        <v>22772.9</v>
      </c>
      <c r="C2129">
        <v>123.378</v>
      </c>
      <c r="E2129">
        <v>878.029</v>
      </c>
      <c r="G2129">
        <f t="shared" si="60"/>
        <v>0.37120183613814239</v>
      </c>
    </row>
    <row r="2130" spans="1:7" x14ac:dyDescent="0.2">
      <c r="A2130">
        <v>28121</v>
      </c>
      <c r="C2130">
        <v>27.9542</v>
      </c>
      <c r="E2130">
        <v>611.08799999999997</v>
      </c>
      <c r="G2130">
        <f t="shared" si="60"/>
        <v>0.94630851197667154</v>
      </c>
    </row>
    <row r="2131" spans="1:7" x14ac:dyDescent="0.2">
      <c r="A2131">
        <v>17128.2</v>
      </c>
      <c r="C2131">
        <v>164.87700000000001</v>
      </c>
      <c r="E2131">
        <v>813.82600000000002</v>
      </c>
      <c r="G2131">
        <f t="shared" si="60"/>
        <v>0.3249810979215732</v>
      </c>
    </row>
    <row r="2132" spans="1:7" x14ac:dyDescent="0.2">
      <c r="A2132">
        <v>30292.5</v>
      </c>
      <c r="C2132">
        <v>23.244900000000001</v>
      </c>
      <c r="E2132">
        <v>642.822</v>
      </c>
      <c r="G2132">
        <f t="shared" si="60"/>
        <v>0.92121955945956147</v>
      </c>
    </row>
    <row r="2133" spans="1:7" x14ac:dyDescent="0.2">
      <c r="A2133">
        <v>42644</v>
      </c>
      <c r="C2133">
        <v>71.318899999999999</v>
      </c>
      <c r="E2133">
        <v>1031.3</v>
      </c>
      <c r="G2133">
        <f t="shared" si="60"/>
        <v>0.5038455142369257</v>
      </c>
    </row>
    <row r="2134" spans="1:7" x14ac:dyDescent="0.2">
      <c r="A2134">
        <v>33138.5</v>
      </c>
      <c r="C2134">
        <v>61.693600000000004</v>
      </c>
      <c r="E2134">
        <v>844.82899999999995</v>
      </c>
      <c r="G2134">
        <f t="shared" si="60"/>
        <v>0.58345144137998084</v>
      </c>
    </row>
    <row r="2135" spans="1:7" x14ac:dyDescent="0.2">
      <c r="A2135">
        <v>29767.1</v>
      </c>
      <c r="C2135">
        <v>50.7575</v>
      </c>
      <c r="E2135">
        <v>672.46100000000001</v>
      </c>
      <c r="G2135">
        <f t="shared" si="60"/>
        <v>0.8272024640965806</v>
      </c>
    </row>
    <row r="2136" spans="1:7" x14ac:dyDescent="0.2">
      <c r="A2136">
        <v>35123.599999999999</v>
      </c>
      <c r="C2136">
        <v>34.475000000000001</v>
      </c>
      <c r="E2136">
        <v>680.74300000000005</v>
      </c>
      <c r="G2136">
        <f t="shared" si="60"/>
        <v>0.95244992365509717</v>
      </c>
    </row>
    <row r="2137" spans="1:7" x14ac:dyDescent="0.2">
      <c r="A2137">
        <v>31556.6</v>
      </c>
      <c r="C2137">
        <v>37.903399999999998</v>
      </c>
      <c r="E2137">
        <v>677.029</v>
      </c>
      <c r="G2137">
        <f t="shared" si="60"/>
        <v>0.86513754258986875</v>
      </c>
    </row>
    <row r="2138" spans="1:7" x14ac:dyDescent="0.2">
      <c r="A2138">
        <v>32301.4</v>
      </c>
      <c r="C2138">
        <v>28.245100000000001</v>
      </c>
      <c r="E2138">
        <v>646.76900000000001</v>
      </c>
      <c r="G2138">
        <f t="shared" si="60"/>
        <v>0.97035902960434905</v>
      </c>
    </row>
    <row r="2139" spans="1:7" x14ac:dyDescent="0.2">
      <c r="A2139">
        <v>29274.6</v>
      </c>
      <c r="C2139">
        <v>24.0245</v>
      </c>
      <c r="E2139">
        <v>622.14099999999996</v>
      </c>
      <c r="G2139">
        <f t="shared" si="60"/>
        <v>0.95043587562694742</v>
      </c>
    </row>
    <row r="2140" spans="1:7" x14ac:dyDescent="0.2">
      <c r="A2140">
        <v>29445.3</v>
      </c>
      <c r="C2140">
        <v>34.408099999999997</v>
      </c>
      <c r="E2140">
        <v>637.87599999999998</v>
      </c>
      <c r="G2140">
        <f t="shared" si="60"/>
        <v>0.909395825439545</v>
      </c>
    </row>
    <row r="2141" spans="1:7" x14ac:dyDescent="0.2">
      <c r="A2141">
        <v>22373.4</v>
      </c>
      <c r="C2141">
        <v>231.13</v>
      </c>
      <c r="E2141">
        <v>1681.21</v>
      </c>
      <c r="G2141">
        <f t="shared" si="60"/>
        <v>9.9471245356090546E-2</v>
      </c>
    </row>
    <row r="2142" spans="1:7" x14ac:dyDescent="0.2">
      <c r="A2142">
        <v>38077.300000000003</v>
      </c>
      <c r="C2142">
        <v>30.970199999999998</v>
      </c>
      <c r="E2142">
        <v>723.04200000000003</v>
      </c>
      <c r="G2142">
        <f t="shared" si="60"/>
        <v>0.91526866104069937</v>
      </c>
    </row>
    <row r="2143" spans="1:7" x14ac:dyDescent="0.2">
      <c r="A2143">
        <v>34369.4</v>
      </c>
      <c r="C2143">
        <v>30.147400000000001</v>
      </c>
      <c r="E2143">
        <v>667.64</v>
      </c>
      <c r="G2143">
        <f t="shared" si="60"/>
        <v>0.96893970079581004</v>
      </c>
    </row>
    <row r="2144" spans="1:7" x14ac:dyDescent="0.2">
      <c r="A2144">
        <v>27838.7</v>
      </c>
      <c r="C2144">
        <v>33.320999999999998</v>
      </c>
      <c r="E2144">
        <v>623.75199999999995</v>
      </c>
      <c r="G2144">
        <f t="shared" si="60"/>
        <v>0.89915496303843445</v>
      </c>
    </row>
    <row r="2145" spans="1:7" x14ac:dyDescent="0.2">
      <c r="A2145">
        <v>45720.3</v>
      </c>
      <c r="C2145">
        <v>37.302</v>
      </c>
      <c r="E2145">
        <v>795.673</v>
      </c>
      <c r="G2145">
        <f t="shared" si="60"/>
        <v>0.90750562640202537</v>
      </c>
    </row>
    <row r="2146" spans="1:7" x14ac:dyDescent="0.2">
      <c r="A2146">
        <v>31191.200000000001</v>
      </c>
      <c r="C2146">
        <v>29.165600000000001</v>
      </c>
      <c r="E2146">
        <v>646.827</v>
      </c>
      <c r="G2146">
        <f t="shared" si="60"/>
        <v>0.93683973065344339</v>
      </c>
    </row>
    <row r="2147" spans="1:7" x14ac:dyDescent="0.2">
      <c r="A2147">
        <v>29701.1</v>
      </c>
      <c r="C2147">
        <v>31.7453</v>
      </c>
      <c r="E2147">
        <v>631.38900000000001</v>
      </c>
      <c r="G2147">
        <f t="shared" si="60"/>
        <v>0.9362417599680547</v>
      </c>
    </row>
    <row r="2148" spans="1:7" x14ac:dyDescent="0.2">
      <c r="A2148">
        <v>37265.199999999997</v>
      </c>
      <c r="C2148">
        <v>71.011399999999995</v>
      </c>
      <c r="E2148">
        <v>829.98199999999997</v>
      </c>
      <c r="G2148">
        <f t="shared" si="60"/>
        <v>0.67979130587308334</v>
      </c>
    </row>
    <row r="2149" spans="1:7" x14ac:dyDescent="0.2">
      <c r="A2149">
        <v>35835.5</v>
      </c>
      <c r="C2149">
        <v>32.042200000000001</v>
      </c>
      <c r="E2149">
        <v>705.74199999999996</v>
      </c>
      <c r="G2149">
        <f t="shared" si="60"/>
        <v>0.90413032898867274</v>
      </c>
    </row>
    <row r="2150" spans="1:7" x14ac:dyDescent="0.2">
      <c r="A2150">
        <v>33640.6</v>
      </c>
      <c r="C2150">
        <v>119.122</v>
      </c>
      <c r="E2150">
        <v>935.69299999999998</v>
      </c>
      <c r="G2150">
        <f t="shared" si="60"/>
        <v>0.4828435888879562</v>
      </c>
    </row>
    <row r="2151" spans="1:7" x14ac:dyDescent="0.2">
      <c r="A2151">
        <v>33044.1</v>
      </c>
      <c r="C2151">
        <v>31.473700000000001</v>
      </c>
      <c r="E2151">
        <v>678.89400000000001</v>
      </c>
      <c r="G2151">
        <f t="shared" si="60"/>
        <v>0.90094749912384731</v>
      </c>
    </row>
    <row r="2152" spans="1:7" x14ac:dyDescent="0.2">
      <c r="A2152">
        <v>29914.2</v>
      </c>
      <c r="C2152">
        <v>32.892899999999997</v>
      </c>
      <c r="E2152">
        <v>651.28499999999997</v>
      </c>
      <c r="G2152">
        <f t="shared" si="60"/>
        <v>0.88622651257602025</v>
      </c>
    </row>
    <row r="2153" spans="1:7" x14ac:dyDescent="0.2">
      <c r="A2153">
        <v>46430.7</v>
      </c>
      <c r="C2153">
        <v>29.856200000000001</v>
      </c>
      <c r="E2153">
        <v>794.21100000000001</v>
      </c>
      <c r="G2153">
        <f t="shared" si="60"/>
        <v>0.92500255587176217</v>
      </c>
    </row>
    <row r="2154" spans="1:7" x14ac:dyDescent="0.2">
      <c r="A2154">
        <v>34983.5</v>
      </c>
      <c r="C2154">
        <v>49.674500000000002</v>
      </c>
      <c r="E2154">
        <v>749.17600000000004</v>
      </c>
      <c r="G2154">
        <f t="shared" si="60"/>
        <v>0.78325836548641636</v>
      </c>
    </row>
    <row r="2155" spans="1:7" x14ac:dyDescent="0.2">
      <c r="A2155">
        <v>41966.8</v>
      </c>
      <c r="C2155">
        <v>57.1922</v>
      </c>
      <c r="E2155">
        <v>835.73099999999999</v>
      </c>
      <c r="G2155">
        <f t="shared" si="60"/>
        <v>0.75506150373361103</v>
      </c>
    </row>
    <row r="2156" spans="1:7" x14ac:dyDescent="0.2">
      <c r="A2156">
        <v>42383.6</v>
      </c>
      <c r="C2156">
        <v>37.443899999999999</v>
      </c>
      <c r="E2156">
        <v>761.36599999999999</v>
      </c>
      <c r="G2156">
        <f t="shared" si="60"/>
        <v>0.9187987207378322</v>
      </c>
    </row>
    <row r="2157" spans="1:7" x14ac:dyDescent="0.2">
      <c r="A2157">
        <v>47974.400000000001</v>
      </c>
      <c r="C2157">
        <v>136.29300000000001</v>
      </c>
      <c r="E2157">
        <v>1203.1199999999999</v>
      </c>
      <c r="G2157">
        <f t="shared" si="60"/>
        <v>0.41648671832560219</v>
      </c>
    </row>
    <row r="2158" spans="1:7" x14ac:dyDescent="0.2">
      <c r="A2158">
        <v>30199.7</v>
      </c>
      <c r="C2158">
        <v>34.926400000000001</v>
      </c>
      <c r="E2158">
        <v>637.65</v>
      </c>
      <c r="G2158">
        <f t="shared" si="60"/>
        <v>0.93335615957177898</v>
      </c>
    </row>
    <row r="2159" spans="1:7" x14ac:dyDescent="0.2">
      <c r="A2159">
        <v>31526.2</v>
      </c>
      <c r="C2159">
        <v>33.643000000000001</v>
      </c>
      <c r="E2159">
        <v>651.077</v>
      </c>
      <c r="G2159">
        <f t="shared" si="60"/>
        <v>0.93457985639947183</v>
      </c>
    </row>
    <row r="2160" spans="1:7" x14ac:dyDescent="0.2">
      <c r="A2160">
        <v>27963.7</v>
      </c>
      <c r="C2160">
        <v>43.008000000000003</v>
      </c>
      <c r="E2160">
        <v>609.96699999999998</v>
      </c>
      <c r="G2160">
        <f t="shared" si="60"/>
        <v>0.94447714257786775</v>
      </c>
    </row>
    <row r="2161" spans="1:7" x14ac:dyDescent="0.2">
      <c r="A2161">
        <v>29605.9</v>
      </c>
      <c r="C2161">
        <v>27.085100000000001</v>
      </c>
      <c r="E2161">
        <v>618.21600000000001</v>
      </c>
      <c r="G2161">
        <f t="shared" si="60"/>
        <v>0.97343573100842284</v>
      </c>
    </row>
    <row r="2162" spans="1:7" x14ac:dyDescent="0.2">
      <c r="A2162">
        <v>28196</v>
      </c>
      <c r="C2162">
        <v>35.481099999999998</v>
      </c>
      <c r="E2162">
        <v>626.07299999999998</v>
      </c>
      <c r="G2162">
        <f t="shared" si="60"/>
        <v>0.90395549568316946</v>
      </c>
    </row>
    <row r="2163" spans="1:7" x14ac:dyDescent="0.2">
      <c r="A2163">
        <v>39336.6</v>
      </c>
      <c r="C2163">
        <v>167.84</v>
      </c>
      <c r="E2163">
        <v>879.51099999999997</v>
      </c>
      <c r="G2163">
        <f t="shared" si="60"/>
        <v>0.6390337060154524</v>
      </c>
    </row>
    <row r="2164" spans="1:7" x14ac:dyDescent="0.2">
      <c r="A2164">
        <v>25760.1</v>
      </c>
      <c r="C2164">
        <v>118.51</v>
      </c>
      <c r="E2164">
        <v>764.01499999999999</v>
      </c>
      <c r="G2164">
        <f t="shared" si="60"/>
        <v>0.55456604029765322</v>
      </c>
    </row>
    <row r="2165" spans="1:7" x14ac:dyDescent="0.2">
      <c r="A2165">
        <v>29203.9</v>
      </c>
      <c r="C2165">
        <v>37.622799999999998</v>
      </c>
      <c r="E2165">
        <v>635.61900000000003</v>
      </c>
      <c r="G2165">
        <f t="shared" si="60"/>
        <v>0.90835708599659248</v>
      </c>
    </row>
    <row r="2166" spans="1:7" x14ac:dyDescent="0.2">
      <c r="A2166">
        <v>36636.199999999997</v>
      </c>
      <c r="C2166">
        <v>46.572099999999999</v>
      </c>
      <c r="E2166">
        <v>840.39700000000005</v>
      </c>
      <c r="G2166">
        <f t="shared" si="60"/>
        <v>0.65185489562445575</v>
      </c>
    </row>
    <row r="2167" spans="1:7" x14ac:dyDescent="0.2">
      <c r="A2167">
        <v>38691.9</v>
      </c>
      <c r="C2167">
        <v>31.119599999999998</v>
      </c>
      <c r="E2167">
        <v>710.90200000000004</v>
      </c>
      <c r="G2167">
        <f t="shared" si="60"/>
        <v>0.96207755271025863</v>
      </c>
    </row>
    <row r="2168" spans="1:7" x14ac:dyDescent="0.2">
      <c r="A2168">
        <v>32779.4</v>
      </c>
      <c r="C2168">
        <v>27.289899999999999</v>
      </c>
      <c r="E2168">
        <v>654.78099999999995</v>
      </c>
      <c r="G2168">
        <f t="shared" si="60"/>
        <v>0.9607676231642297</v>
      </c>
    </row>
    <row r="2169" spans="1:7" x14ac:dyDescent="0.2">
      <c r="A2169">
        <v>22293.4</v>
      </c>
      <c r="C2169">
        <v>160.69999999999999</v>
      </c>
      <c r="E2169">
        <v>941.16099999999994</v>
      </c>
      <c r="G2169">
        <f t="shared" si="60"/>
        <v>0.31626997235604409</v>
      </c>
    </row>
    <row r="2170" spans="1:7" x14ac:dyDescent="0.2">
      <c r="A2170">
        <v>29599.3</v>
      </c>
      <c r="C2170">
        <v>78.126300000000001</v>
      </c>
      <c r="E2170">
        <v>802.14800000000002</v>
      </c>
      <c r="G2170">
        <f t="shared" si="60"/>
        <v>0.57807199149835076</v>
      </c>
    </row>
    <row r="2171" spans="1:7" x14ac:dyDescent="0.2">
      <c r="A2171">
        <v>32052.400000000001</v>
      </c>
      <c r="C2171">
        <v>52.311599999999999</v>
      </c>
      <c r="E2171">
        <v>751.81299999999999</v>
      </c>
      <c r="G2171">
        <f t="shared" si="60"/>
        <v>0.71260750017513153</v>
      </c>
    </row>
    <row r="2172" spans="1:7" x14ac:dyDescent="0.2">
      <c r="A2172">
        <v>33125.199999999997</v>
      </c>
      <c r="C2172">
        <v>32.1252</v>
      </c>
      <c r="E2172">
        <v>676.78</v>
      </c>
      <c r="G2172">
        <f t="shared" si="60"/>
        <v>0.90880974263409964</v>
      </c>
    </row>
    <row r="2173" spans="1:7" x14ac:dyDescent="0.2">
      <c r="A2173">
        <v>25197.200000000001</v>
      </c>
      <c r="C2173">
        <v>171.678</v>
      </c>
      <c r="E2173">
        <v>951.322</v>
      </c>
      <c r="G2173">
        <f t="shared" si="60"/>
        <v>0.34986999587166284</v>
      </c>
    </row>
    <row r="2174" spans="1:7" x14ac:dyDescent="0.2">
      <c r="A2174">
        <v>38885.699999999997</v>
      </c>
      <c r="C2174">
        <v>39.773899999999998</v>
      </c>
      <c r="E2174">
        <v>728.74300000000005</v>
      </c>
      <c r="G2174">
        <f t="shared" si="60"/>
        <v>0.92013304139037033</v>
      </c>
    </row>
    <row r="2175" spans="1:7" x14ac:dyDescent="0.2">
      <c r="A2175">
        <v>34003</v>
      </c>
      <c r="C2175">
        <v>45.186</v>
      </c>
      <c r="E2175">
        <v>692.26900000000001</v>
      </c>
      <c r="G2175">
        <f t="shared" si="60"/>
        <v>0.89161417473668703</v>
      </c>
    </row>
    <row r="2176" spans="1:7" x14ac:dyDescent="0.2">
      <c r="A2176">
        <v>28316.1</v>
      </c>
      <c r="C2176">
        <v>28.054500000000001</v>
      </c>
      <c r="E2176">
        <v>615.64599999999996</v>
      </c>
      <c r="G2176">
        <f t="shared" si="60"/>
        <v>0.938816708658604</v>
      </c>
    </row>
    <row r="2177" spans="1:7" x14ac:dyDescent="0.2">
      <c r="A2177">
        <v>30947</v>
      </c>
      <c r="C2177">
        <v>41.8078</v>
      </c>
      <c r="E2177">
        <v>662.24</v>
      </c>
      <c r="G2177">
        <f t="shared" si="60"/>
        <v>0.88674190801237684</v>
      </c>
    </row>
    <row r="2178" spans="1:7" x14ac:dyDescent="0.2">
      <c r="A2178">
        <v>47272.5</v>
      </c>
      <c r="C2178">
        <v>73.137299999999996</v>
      </c>
      <c r="E2178">
        <v>1075.8</v>
      </c>
      <c r="G2178">
        <f t="shared" si="60"/>
        <v>0.51328076295340774</v>
      </c>
    </row>
    <row r="2179" spans="1:7" x14ac:dyDescent="0.2">
      <c r="A2179">
        <v>44041.9</v>
      </c>
      <c r="C2179">
        <v>63.935400000000001</v>
      </c>
      <c r="E2179">
        <v>976.31200000000001</v>
      </c>
      <c r="G2179">
        <f t="shared" ref="G2179:G2242" si="61" xml:space="preserve"> 3.14159*4*A2179/(E2179*E2179)</f>
        <v>0.5806284194864848</v>
      </c>
    </row>
    <row r="2180" spans="1:7" x14ac:dyDescent="0.2">
      <c r="A2180">
        <v>25164</v>
      </c>
      <c r="C2180">
        <v>120.187</v>
      </c>
      <c r="E2180">
        <v>715.41200000000003</v>
      </c>
      <c r="G2180">
        <f t="shared" si="61"/>
        <v>0.61784101120843427</v>
      </c>
    </row>
    <row r="2181" spans="1:7" x14ac:dyDescent="0.2">
      <c r="A2181">
        <v>32396.6</v>
      </c>
      <c r="C2181">
        <v>39.941200000000002</v>
      </c>
      <c r="E2181">
        <v>698.30200000000002</v>
      </c>
      <c r="G2181">
        <f t="shared" si="61"/>
        <v>0.83487673516508576</v>
      </c>
    </row>
    <row r="2182" spans="1:7" x14ac:dyDescent="0.2">
      <c r="A2182">
        <v>21717.5</v>
      </c>
      <c r="C2182">
        <v>73.785700000000006</v>
      </c>
      <c r="E2182">
        <v>871.94399999999996</v>
      </c>
      <c r="G2182">
        <f t="shared" si="61"/>
        <v>0.35895676306658181</v>
      </c>
    </row>
    <row r="2183" spans="1:7" x14ac:dyDescent="0.2">
      <c r="A2183">
        <v>32039.599999999999</v>
      </c>
      <c r="C2183">
        <v>36.879800000000003</v>
      </c>
      <c r="E2183">
        <v>680.67</v>
      </c>
      <c r="G2183">
        <f t="shared" si="61"/>
        <v>0.86900717651263004</v>
      </c>
    </row>
    <row r="2184" spans="1:7" x14ac:dyDescent="0.2">
      <c r="A2184">
        <v>29695.5</v>
      </c>
      <c r="C2184">
        <v>36.980400000000003</v>
      </c>
      <c r="E2184">
        <v>627.54100000000005</v>
      </c>
      <c r="G2184">
        <f t="shared" si="61"/>
        <v>0.9475800931500763</v>
      </c>
    </row>
    <row r="2185" spans="1:7" x14ac:dyDescent="0.2">
      <c r="A2185">
        <v>31175.7</v>
      </c>
      <c r="C2185">
        <v>30.561900000000001</v>
      </c>
      <c r="E2185">
        <v>644.09100000000001</v>
      </c>
      <c r="G2185">
        <f t="shared" si="61"/>
        <v>0.94434622675466662</v>
      </c>
    </row>
    <row r="2186" spans="1:7" x14ac:dyDescent="0.2">
      <c r="A2186">
        <v>27795.599999999999</v>
      </c>
      <c r="C2186">
        <v>41.364100000000001</v>
      </c>
      <c r="E2186">
        <v>613.63599999999997</v>
      </c>
      <c r="G2186">
        <f t="shared" si="61"/>
        <v>0.92760672765288232</v>
      </c>
    </row>
    <row r="2187" spans="1:7" x14ac:dyDescent="0.2">
      <c r="A2187">
        <v>29507.1</v>
      </c>
      <c r="C2187">
        <v>32.761400000000002</v>
      </c>
      <c r="E2187">
        <v>618.755</v>
      </c>
      <c r="G2187">
        <f t="shared" si="61"/>
        <v>0.96849767604753334</v>
      </c>
    </row>
    <row r="2188" spans="1:7" x14ac:dyDescent="0.2">
      <c r="A2188">
        <v>27816.7</v>
      </c>
      <c r="C2188">
        <v>40.777999999999999</v>
      </c>
      <c r="E2188">
        <v>618.02</v>
      </c>
      <c r="G2188">
        <f t="shared" si="61"/>
        <v>0.91518742580397983</v>
      </c>
    </row>
    <row r="2189" spans="1:7" x14ac:dyDescent="0.2">
      <c r="A2189">
        <v>48077.5</v>
      </c>
      <c r="C2189">
        <v>76.967299999999994</v>
      </c>
      <c r="E2189">
        <v>1111.98</v>
      </c>
      <c r="G2189">
        <f t="shared" si="61"/>
        <v>0.48860445388976631</v>
      </c>
    </row>
    <row r="2190" spans="1:7" x14ac:dyDescent="0.2">
      <c r="A2190">
        <v>28378</v>
      </c>
      <c r="C2190">
        <v>30.965599999999998</v>
      </c>
      <c r="E2190">
        <v>632.43100000000004</v>
      </c>
      <c r="G2190">
        <f t="shared" si="61"/>
        <v>0.89158957579406672</v>
      </c>
    </row>
    <row r="2191" spans="1:7" x14ac:dyDescent="0.2">
      <c r="A2191">
        <v>30011.9</v>
      </c>
      <c r="C2191">
        <v>33.837800000000001</v>
      </c>
      <c r="E2191">
        <v>623.97900000000004</v>
      </c>
      <c r="G2191">
        <f t="shared" si="61"/>
        <v>0.96864142990688717</v>
      </c>
    </row>
    <row r="2192" spans="1:7" x14ac:dyDescent="0.2">
      <c r="A2192">
        <v>28426</v>
      </c>
      <c r="C2192">
        <v>43.9895</v>
      </c>
      <c r="E2192">
        <v>632.428</v>
      </c>
      <c r="G2192">
        <f t="shared" si="61"/>
        <v>0.89310612904153086</v>
      </c>
    </row>
    <row r="2193" spans="1:7" x14ac:dyDescent="0.2">
      <c r="A2193">
        <v>44648.1</v>
      </c>
      <c r="C2193">
        <v>79.135800000000003</v>
      </c>
      <c r="E2193">
        <v>1022.67</v>
      </c>
      <c r="G2193">
        <f t="shared" si="61"/>
        <v>0.53646506688186513</v>
      </c>
    </row>
    <row r="2194" spans="1:7" x14ac:dyDescent="0.2">
      <c r="A2194">
        <v>27273.1</v>
      </c>
      <c r="C2194">
        <v>32.118899999999996</v>
      </c>
      <c r="E2194">
        <v>617.351</v>
      </c>
      <c r="G2194">
        <f t="shared" si="61"/>
        <v>0.89924843390936116</v>
      </c>
    </row>
    <row r="2195" spans="1:7" x14ac:dyDescent="0.2">
      <c r="A2195">
        <v>34336.400000000001</v>
      </c>
      <c r="C2195">
        <v>33.079799999999999</v>
      </c>
      <c r="E2195">
        <v>691.58799999999997</v>
      </c>
      <c r="G2195">
        <f t="shared" si="61"/>
        <v>0.90213048463059098</v>
      </c>
    </row>
    <row r="2196" spans="1:7" x14ac:dyDescent="0.2">
      <c r="A2196">
        <v>33089.5</v>
      </c>
      <c r="C2196">
        <v>40.650199999999998</v>
      </c>
      <c r="E2196">
        <v>681.38300000000004</v>
      </c>
      <c r="G2196">
        <f t="shared" si="61"/>
        <v>0.89560624638211295</v>
      </c>
    </row>
    <row r="2197" spans="1:7" x14ac:dyDescent="0.2">
      <c r="A2197">
        <v>19339</v>
      </c>
      <c r="C2197">
        <v>288.28800000000001</v>
      </c>
      <c r="E2197">
        <v>1207.23</v>
      </c>
      <c r="G2197">
        <f t="shared" si="61"/>
        <v>0.1667490898434294</v>
      </c>
    </row>
    <row r="2198" spans="1:7" x14ac:dyDescent="0.2">
      <c r="A2198">
        <v>32199.7</v>
      </c>
      <c r="C2198">
        <v>40.393700000000003</v>
      </c>
      <c r="E2198">
        <v>675.84900000000005</v>
      </c>
      <c r="G2198">
        <f t="shared" si="61"/>
        <v>0.88585363495004887</v>
      </c>
    </row>
    <row r="2199" spans="1:7" x14ac:dyDescent="0.2">
      <c r="A2199">
        <v>33163.800000000003</v>
      </c>
      <c r="C2199">
        <v>23.832899999999999</v>
      </c>
      <c r="E2199">
        <v>651.18200000000002</v>
      </c>
      <c r="G2199">
        <f t="shared" si="61"/>
        <v>0.98280874024157727</v>
      </c>
    </row>
    <row r="2200" spans="1:7" x14ac:dyDescent="0.2">
      <c r="A2200">
        <v>30386.5</v>
      </c>
      <c r="C2200">
        <v>35.818199999999997</v>
      </c>
      <c r="E2200">
        <v>646.25400000000002</v>
      </c>
      <c r="G2200">
        <f t="shared" si="61"/>
        <v>0.91428940809178139</v>
      </c>
    </row>
    <row r="2201" spans="1:7" x14ac:dyDescent="0.2">
      <c r="A2201">
        <v>32166.1</v>
      </c>
      <c r="C2201">
        <v>38.9861</v>
      </c>
      <c r="E2201">
        <v>657.78</v>
      </c>
      <c r="G2201">
        <f t="shared" si="61"/>
        <v>0.93421444033403833</v>
      </c>
    </row>
    <row r="2202" spans="1:7" x14ac:dyDescent="0.2">
      <c r="A2202">
        <v>31082.9</v>
      </c>
      <c r="C2202">
        <v>39.414200000000001</v>
      </c>
      <c r="E2202">
        <v>698.35799999999995</v>
      </c>
      <c r="G2202">
        <f t="shared" si="61"/>
        <v>0.80089356332034212</v>
      </c>
    </row>
    <row r="2203" spans="1:7" x14ac:dyDescent="0.2">
      <c r="A2203">
        <v>30494.9</v>
      </c>
      <c r="C2203">
        <v>62.9831</v>
      </c>
      <c r="E2203">
        <v>815.95399999999995</v>
      </c>
      <c r="G2203">
        <f t="shared" si="61"/>
        <v>0.57557955512068038</v>
      </c>
    </row>
    <row r="2204" spans="1:7" x14ac:dyDescent="0.2">
      <c r="A2204">
        <v>34876.300000000003</v>
      </c>
      <c r="C2204">
        <v>34.5229</v>
      </c>
      <c r="E2204">
        <v>732.202</v>
      </c>
      <c r="G2204">
        <f t="shared" si="61"/>
        <v>0.81748177696507673</v>
      </c>
    </row>
    <row r="2205" spans="1:7" x14ac:dyDescent="0.2">
      <c r="A2205">
        <v>42679.4</v>
      </c>
      <c r="C2205">
        <v>60.170299999999997</v>
      </c>
      <c r="E2205">
        <v>880.67899999999997</v>
      </c>
      <c r="G2205">
        <f t="shared" si="61"/>
        <v>0.69150053638030118</v>
      </c>
    </row>
    <row r="2206" spans="1:7" x14ac:dyDescent="0.2">
      <c r="A2206">
        <v>42259.8</v>
      </c>
      <c r="C2206">
        <v>35.078699999999998</v>
      </c>
      <c r="E2206">
        <v>759.22699999999998</v>
      </c>
      <c r="G2206">
        <f t="shared" si="61"/>
        <v>0.92128424857106195</v>
      </c>
    </row>
    <row r="2207" spans="1:7" x14ac:dyDescent="0.2">
      <c r="A2207">
        <v>5103.12</v>
      </c>
      <c r="C2207">
        <v>163.94300000000001</v>
      </c>
      <c r="E2207">
        <v>462.02800000000002</v>
      </c>
      <c r="G2207">
        <f t="shared" si="61"/>
        <v>0.30040605827356121</v>
      </c>
    </row>
    <row r="2208" spans="1:7" x14ac:dyDescent="0.2">
      <c r="A2208">
        <v>27336.3</v>
      </c>
      <c r="C2208">
        <v>25.186599999999999</v>
      </c>
      <c r="E2208">
        <v>609.86599999999999</v>
      </c>
      <c r="G2208">
        <f t="shared" si="61"/>
        <v>0.92359247294127933</v>
      </c>
    </row>
    <row r="2209" spans="1:7" x14ac:dyDescent="0.2">
      <c r="A2209">
        <v>25738.799999999999</v>
      </c>
      <c r="C2209">
        <v>59.011299999999999</v>
      </c>
      <c r="E2209">
        <v>704.06600000000003</v>
      </c>
      <c r="G2209">
        <f t="shared" si="61"/>
        <v>0.6524857747282129</v>
      </c>
    </row>
    <row r="2210" spans="1:7" x14ac:dyDescent="0.2">
      <c r="A2210">
        <v>35982.1</v>
      </c>
      <c r="C2210">
        <v>29.178799999999999</v>
      </c>
      <c r="E2210">
        <v>704.95399999999995</v>
      </c>
      <c r="G2210">
        <f t="shared" si="61"/>
        <v>0.90985973287663835</v>
      </c>
    </row>
    <row r="2211" spans="1:7" x14ac:dyDescent="0.2">
      <c r="A2211">
        <v>36435.4</v>
      </c>
      <c r="C2211">
        <v>67.784400000000005</v>
      </c>
      <c r="E2211">
        <v>1042.0999999999999</v>
      </c>
      <c r="G2211">
        <f t="shared" si="61"/>
        <v>0.42161324627390856</v>
      </c>
    </row>
    <row r="2212" spans="1:7" x14ac:dyDescent="0.2">
      <c r="A2212">
        <v>32864.5</v>
      </c>
      <c r="C2212">
        <v>29.548999999999999</v>
      </c>
      <c r="E2212">
        <v>678.37400000000002</v>
      </c>
      <c r="G2212">
        <f t="shared" si="61"/>
        <v>0.89742494629967962</v>
      </c>
    </row>
    <row r="2213" spans="1:7" x14ac:dyDescent="0.2">
      <c r="A2213">
        <v>30055.200000000001</v>
      </c>
      <c r="C2213">
        <v>36.384</v>
      </c>
      <c r="E2213">
        <v>652.245</v>
      </c>
      <c r="G2213">
        <f t="shared" si="61"/>
        <v>0.88778459003421717</v>
      </c>
    </row>
    <row r="2214" spans="1:7" x14ac:dyDescent="0.2">
      <c r="A2214">
        <v>46453.3</v>
      </c>
      <c r="C2214">
        <v>23.837299999999999</v>
      </c>
      <c r="E2214">
        <v>794.94100000000003</v>
      </c>
      <c r="G2214">
        <f t="shared" si="61"/>
        <v>0.92375387860253055</v>
      </c>
    </row>
    <row r="2215" spans="1:7" x14ac:dyDescent="0.2">
      <c r="A2215">
        <v>31548.400000000001</v>
      </c>
      <c r="C2215">
        <v>33.540700000000001</v>
      </c>
      <c r="E2215">
        <v>665.67</v>
      </c>
      <c r="G2215">
        <f t="shared" si="61"/>
        <v>0.89468234216968578</v>
      </c>
    </row>
    <row r="2216" spans="1:7" x14ac:dyDescent="0.2">
      <c r="A2216">
        <v>35152.5</v>
      </c>
      <c r="C2216">
        <v>28.984400000000001</v>
      </c>
      <c r="E2216">
        <v>688.82500000000005</v>
      </c>
      <c r="G2216">
        <f t="shared" si="61"/>
        <v>0.93099620856026033</v>
      </c>
    </row>
    <row r="2217" spans="1:7" x14ac:dyDescent="0.2">
      <c r="A2217">
        <v>31132.2</v>
      </c>
      <c r="C2217">
        <v>31.973700000000001</v>
      </c>
      <c r="E2217">
        <v>644.09900000000005</v>
      </c>
      <c r="G2217">
        <f t="shared" si="61"/>
        <v>0.9430051383974366</v>
      </c>
    </row>
    <row r="2218" spans="1:7" x14ac:dyDescent="0.2">
      <c r="A2218">
        <v>30882.7</v>
      </c>
      <c r="C2218">
        <v>30.374600000000001</v>
      </c>
      <c r="E2218">
        <v>691.18899999999996</v>
      </c>
      <c r="G2218">
        <f t="shared" si="61"/>
        <v>0.8123274405725649</v>
      </c>
    </row>
    <row r="2219" spans="1:7" x14ac:dyDescent="0.2">
      <c r="A2219">
        <v>28126.3</v>
      </c>
      <c r="C2219">
        <v>43.497399999999999</v>
      </c>
      <c r="E2219">
        <v>638.68399999999997</v>
      </c>
      <c r="G2219">
        <f t="shared" si="61"/>
        <v>0.8664630134171688</v>
      </c>
    </row>
    <row r="2220" spans="1:7" x14ac:dyDescent="0.2">
      <c r="A2220">
        <v>29455.3</v>
      </c>
      <c r="C2220">
        <v>25.603999999999999</v>
      </c>
      <c r="E2220">
        <v>617.35199999999998</v>
      </c>
      <c r="G2220">
        <f t="shared" si="61"/>
        <v>0.97119676842495672</v>
      </c>
    </row>
    <row r="2221" spans="1:7" x14ac:dyDescent="0.2">
      <c r="A2221">
        <v>28259</v>
      </c>
      <c r="C2221">
        <v>33.523099999999999</v>
      </c>
      <c r="E2221">
        <v>625.63499999999999</v>
      </c>
      <c r="G2221">
        <f t="shared" si="61"/>
        <v>0.90724422735611521</v>
      </c>
    </row>
    <row r="2222" spans="1:7" x14ac:dyDescent="0.2">
      <c r="A2222">
        <v>39739.599999999999</v>
      </c>
      <c r="C2222">
        <v>65.047399999999996</v>
      </c>
      <c r="E2222">
        <v>867.524</v>
      </c>
      <c r="G2222">
        <f t="shared" si="61"/>
        <v>0.66354440546438198</v>
      </c>
    </row>
    <row r="2223" spans="1:7" x14ac:dyDescent="0.2">
      <c r="A2223">
        <v>26965.5</v>
      </c>
      <c r="C2223">
        <v>32.5411</v>
      </c>
      <c r="E2223">
        <v>607.39499999999998</v>
      </c>
      <c r="G2223">
        <f t="shared" si="61"/>
        <v>0.91849236293064418</v>
      </c>
    </row>
    <row r="2224" spans="1:7" x14ac:dyDescent="0.2">
      <c r="A2224">
        <v>25965.4</v>
      </c>
      <c r="C2224">
        <v>101.244</v>
      </c>
      <c r="E2224">
        <v>765.78</v>
      </c>
      <c r="G2224">
        <f t="shared" si="61"/>
        <v>0.55641198404236458</v>
      </c>
    </row>
    <row r="2225" spans="1:7" x14ac:dyDescent="0.2">
      <c r="A2225">
        <v>38764</v>
      </c>
      <c r="C2225">
        <v>24.663599999999999</v>
      </c>
      <c r="E2225">
        <v>708.22799999999995</v>
      </c>
      <c r="G2225">
        <f t="shared" si="61"/>
        <v>0.97116248262372606</v>
      </c>
    </row>
    <row r="2226" spans="1:7" x14ac:dyDescent="0.2">
      <c r="A2226">
        <v>32927.800000000003</v>
      </c>
      <c r="C2226">
        <v>45.740299999999998</v>
      </c>
      <c r="E2226">
        <v>789.23299999999995</v>
      </c>
      <c r="G2226">
        <f t="shared" si="61"/>
        <v>0.66429615758919069</v>
      </c>
    </row>
    <row r="2227" spans="1:7" x14ac:dyDescent="0.2">
      <c r="A2227">
        <v>32671.5</v>
      </c>
      <c r="C2227">
        <v>24.1175</v>
      </c>
      <c r="E2227">
        <v>654.54399999999998</v>
      </c>
      <c r="G2227">
        <f t="shared" si="61"/>
        <v>0.95829865569646899</v>
      </c>
    </row>
    <row r="2228" spans="1:7" x14ac:dyDescent="0.2">
      <c r="A2228">
        <v>32290.400000000001</v>
      </c>
      <c r="C2228">
        <v>33.354300000000002</v>
      </c>
      <c r="E2228">
        <v>669.30799999999999</v>
      </c>
      <c r="G2228">
        <f t="shared" si="61"/>
        <v>0.90579702529746298</v>
      </c>
    </row>
    <row r="2229" spans="1:7" x14ac:dyDescent="0.2">
      <c r="A2229">
        <v>19229.3</v>
      </c>
      <c r="C2229">
        <v>118.819</v>
      </c>
      <c r="E2229">
        <v>1231.0999999999999</v>
      </c>
      <c r="G2229">
        <f t="shared" si="61"/>
        <v>0.15943597045041771</v>
      </c>
    </row>
    <row r="2230" spans="1:7" x14ac:dyDescent="0.2">
      <c r="A2230">
        <v>31172.1</v>
      </c>
      <c r="C2230">
        <v>34.450000000000003</v>
      </c>
      <c r="E2230">
        <v>664.50900000000001</v>
      </c>
      <c r="G2230">
        <f t="shared" si="61"/>
        <v>0.88710254116091691</v>
      </c>
    </row>
    <row r="2231" spans="1:7" x14ac:dyDescent="0.2">
      <c r="A2231">
        <v>32301.599999999999</v>
      </c>
      <c r="C2231">
        <v>26.298300000000001</v>
      </c>
      <c r="E2231">
        <v>642.68499999999995</v>
      </c>
      <c r="G2231">
        <f t="shared" si="61"/>
        <v>0.98273676680996069</v>
      </c>
    </row>
    <row r="2232" spans="1:7" x14ac:dyDescent="0.2">
      <c r="A2232">
        <v>29828.5</v>
      </c>
      <c r="C2232">
        <v>29.959199999999999</v>
      </c>
      <c r="E2232">
        <v>630.39800000000002</v>
      </c>
      <c r="G2232">
        <f t="shared" si="61"/>
        <v>0.94321621512526488</v>
      </c>
    </row>
    <row r="2233" spans="1:7" x14ac:dyDescent="0.2">
      <c r="A2233">
        <v>29524.1</v>
      </c>
      <c r="C2233">
        <v>32.749699999999997</v>
      </c>
      <c r="E2233">
        <v>644.71199999999999</v>
      </c>
      <c r="G2233">
        <f t="shared" si="61"/>
        <v>0.89259542646091872</v>
      </c>
    </row>
    <row r="2234" spans="1:7" x14ac:dyDescent="0.2">
      <c r="A2234">
        <v>29230.9</v>
      </c>
      <c r="C2234">
        <v>27.5077</v>
      </c>
      <c r="E2234">
        <v>625.98199999999997</v>
      </c>
      <c r="G2234">
        <f t="shared" si="61"/>
        <v>0.93740657150418949</v>
      </c>
    </row>
    <row r="2235" spans="1:7" x14ac:dyDescent="0.2">
      <c r="A2235">
        <v>38115.599999999999</v>
      </c>
      <c r="C2235">
        <v>35.860999999999997</v>
      </c>
      <c r="E2235">
        <v>718.70600000000002</v>
      </c>
      <c r="G2235">
        <f t="shared" si="61"/>
        <v>0.92727748906484209</v>
      </c>
    </row>
    <row r="2236" spans="1:7" x14ac:dyDescent="0.2">
      <c r="A2236">
        <v>36452.5</v>
      </c>
      <c r="C2236">
        <v>76.645399999999995</v>
      </c>
      <c r="E2236">
        <v>862.00400000000002</v>
      </c>
      <c r="G2236">
        <f t="shared" si="61"/>
        <v>0.61647895232487049</v>
      </c>
    </row>
    <row r="2237" spans="1:7" x14ac:dyDescent="0.2">
      <c r="A2237">
        <v>27981.200000000001</v>
      </c>
      <c r="C2237">
        <v>33.787399999999998</v>
      </c>
      <c r="E2237">
        <v>611.93600000000004</v>
      </c>
      <c r="G2237">
        <f t="shared" si="61"/>
        <v>0.9389961814653095</v>
      </c>
    </row>
    <row r="2238" spans="1:7" x14ac:dyDescent="0.2">
      <c r="A2238">
        <v>30884.6</v>
      </c>
      <c r="C2238">
        <v>34.364199999999997</v>
      </c>
      <c r="E2238">
        <v>671.71600000000001</v>
      </c>
      <c r="G2238">
        <f t="shared" si="61"/>
        <v>0.86016168188449527</v>
      </c>
    </row>
    <row r="2239" spans="1:7" x14ac:dyDescent="0.2">
      <c r="A2239">
        <v>38293.199999999997</v>
      </c>
      <c r="C2239">
        <v>34.438400000000001</v>
      </c>
      <c r="E2239">
        <v>705.89700000000005</v>
      </c>
      <c r="G2239">
        <f t="shared" si="61"/>
        <v>0.96571390524413203</v>
      </c>
    </row>
    <row r="2240" spans="1:7" x14ac:dyDescent="0.2">
      <c r="A2240">
        <v>32191.5</v>
      </c>
      <c r="C2240">
        <v>49.411200000000001</v>
      </c>
      <c r="E2240">
        <v>800.70500000000004</v>
      </c>
      <c r="G2240">
        <f t="shared" si="61"/>
        <v>0.63096552378676418</v>
      </c>
    </row>
    <row r="2241" spans="1:7" x14ac:dyDescent="0.2">
      <c r="A2241">
        <v>32382.799999999999</v>
      </c>
      <c r="C2241">
        <v>34.058</v>
      </c>
      <c r="E2241">
        <v>686.79600000000005</v>
      </c>
      <c r="G2241">
        <f t="shared" si="61"/>
        <v>0.86271704888054135</v>
      </c>
    </row>
    <row r="2242" spans="1:7" x14ac:dyDescent="0.2">
      <c r="A2242">
        <v>31379.8</v>
      </c>
      <c r="C2242">
        <v>36.887599999999999</v>
      </c>
      <c r="E2242">
        <v>707.76900000000001</v>
      </c>
      <c r="G2242">
        <f t="shared" si="61"/>
        <v>0.78718461022596564</v>
      </c>
    </row>
    <row r="2243" spans="1:7" x14ac:dyDescent="0.2">
      <c r="A2243">
        <v>10799.1</v>
      </c>
      <c r="C2243">
        <v>298.11099999999999</v>
      </c>
      <c r="E2243">
        <v>1364.9</v>
      </c>
      <c r="G2243">
        <f t="shared" ref="G2243:G2306" si="62" xml:space="preserve"> 3.14159*4*A2243/(E2243*E2243)</f>
        <v>7.2844269496775707E-2</v>
      </c>
    </row>
    <row r="2244" spans="1:7" x14ac:dyDescent="0.2">
      <c r="A2244">
        <v>36745.699999999997</v>
      </c>
      <c r="C2244">
        <v>86.135300000000001</v>
      </c>
      <c r="E2244">
        <v>1193.42</v>
      </c>
      <c r="G2244">
        <f t="shared" si="62"/>
        <v>0.32421223404827781</v>
      </c>
    </row>
    <row r="2245" spans="1:7" x14ac:dyDescent="0.2">
      <c r="A2245">
        <v>24370.9</v>
      </c>
      <c r="C2245">
        <v>32.7517</v>
      </c>
      <c r="E2245">
        <v>567.45500000000004</v>
      </c>
      <c r="G2245">
        <f t="shared" si="62"/>
        <v>0.95108254393134473</v>
      </c>
    </row>
    <row r="2246" spans="1:7" x14ac:dyDescent="0.2">
      <c r="A2246">
        <v>32525.8</v>
      </c>
      <c r="C2246">
        <v>35.420499999999997</v>
      </c>
      <c r="E2246">
        <v>672.4</v>
      </c>
      <c r="G2246">
        <f t="shared" si="62"/>
        <v>0.90402840174735233</v>
      </c>
    </row>
    <row r="2247" spans="1:7" x14ac:dyDescent="0.2">
      <c r="A2247">
        <v>36709</v>
      </c>
      <c r="C2247">
        <v>61.369700000000002</v>
      </c>
      <c r="E2247">
        <v>986.26199999999994</v>
      </c>
      <c r="G2247">
        <f t="shared" si="62"/>
        <v>0.47423920111142331</v>
      </c>
    </row>
    <row r="2248" spans="1:7" x14ac:dyDescent="0.2">
      <c r="A2248">
        <v>24421.5</v>
      </c>
      <c r="C2248">
        <v>61.388100000000001</v>
      </c>
      <c r="E2248">
        <v>856.99099999999999</v>
      </c>
      <c r="G2248">
        <f t="shared" si="62"/>
        <v>0.41785856688811107</v>
      </c>
    </row>
    <row r="2249" spans="1:7" x14ac:dyDescent="0.2">
      <c r="A2249">
        <v>28781.3</v>
      </c>
      <c r="C2249">
        <v>44.0672</v>
      </c>
      <c r="E2249">
        <v>671.35400000000004</v>
      </c>
      <c r="G2249">
        <f t="shared" si="62"/>
        <v>0.80244770973743662</v>
      </c>
    </row>
    <row r="2250" spans="1:7" x14ac:dyDescent="0.2">
      <c r="A2250">
        <v>31097.5</v>
      </c>
      <c r="C2250">
        <v>610.41700000000003</v>
      </c>
      <c r="E2250">
        <v>1200.97</v>
      </c>
      <c r="G2250">
        <f t="shared" si="62"/>
        <v>0.27093845864047861</v>
      </c>
    </row>
    <row r="2251" spans="1:7" x14ac:dyDescent="0.2">
      <c r="A2251">
        <v>29482.2</v>
      </c>
      <c r="C2251">
        <v>35.756</v>
      </c>
      <c r="E2251">
        <v>669.78399999999999</v>
      </c>
      <c r="G2251">
        <f t="shared" si="62"/>
        <v>0.82584747951822624</v>
      </c>
    </row>
    <row r="2252" spans="1:7" x14ac:dyDescent="0.2">
      <c r="A2252">
        <v>26820.7</v>
      </c>
      <c r="C2252">
        <v>25.913799999999998</v>
      </c>
      <c r="E2252">
        <v>611.05100000000004</v>
      </c>
      <c r="G2252">
        <f t="shared" si="62"/>
        <v>0.90266101736643356</v>
      </c>
    </row>
    <row r="2253" spans="1:7" x14ac:dyDescent="0.2">
      <c r="A2253">
        <v>27732</v>
      </c>
      <c r="C2253">
        <v>26.044899999999998</v>
      </c>
      <c r="E2253">
        <v>623.23900000000003</v>
      </c>
      <c r="G2253">
        <f t="shared" si="62"/>
        <v>0.89718384430493636</v>
      </c>
    </row>
    <row r="2254" spans="1:7" x14ac:dyDescent="0.2">
      <c r="A2254">
        <v>42274.2</v>
      </c>
      <c r="C2254">
        <v>32.654899999999998</v>
      </c>
      <c r="E2254">
        <v>784.48599999999999</v>
      </c>
      <c r="G2254">
        <f t="shared" si="62"/>
        <v>0.86320609828162265</v>
      </c>
    </row>
    <row r="2255" spans="1:7" x14ac:dyDescent="0.2">
      <c r="A2255">
        <v>32332</v>
      </c>
      <c r="C2255">
        <v>51.020099999999999</v>
      </c>
      <c r="E2255">
        <v>779.88400000000001</v>
      </c>
      <c r="G2255">
        <f t="shared" si="62"/>
        <v>0.66800858870067004</v>
      </c>
    </row>
    <row r="2256" spans="1:7" x14ac:dyDescent="0.2">
      <c r="A2256">
        <v>29386.9</v>
      </c>
      <c r="C2256">
        <v>25.291799999999999</v>
      </c>
      <c r="E2256">
        <v>623.779</v>
      </c>
      <c r="G2256">
        <f t="shared" si="62"/>
        <v>0.94907770780564327</v>
      </c>
    </row>
    <row r="2257" spans="1:7" x14ac:dyDescent="0.2">
      <c r="A2257">
        <v>33228.699999999997</v>
      </c>
      <c r="C2257">
        <v>58.3307</v>
      </c>
      <c r="E2257">
        <v>933.86500000000001</v>
      </c>
      <c r="G2257">
        <f t="shared" si="62"/>
        <v>0.47880056047210034</v>
      </c>
    </row>
    <row r="2258" spans="1:7" x14ac:dyDescent="0.2">
      <c r="A2258">
        <v>43095.3</v>
      </c>
      <c r="C2258">
        <v>52.781799999999997</v>
      </c>
      <c r="E2258">
        <v>1064.81</v>
      </c>
      <c r="G2258">
        <f t="shared" si="62"/>
        <v>0.4776339221174779</v>
      </c>
    </row>
    <row r="2259" spans="1:7" x14ac:dyDescent="0.2">
      <c r="A2259">
        <v>34129.4</v>
      </c>
      <c r="C2259">
        <v>43.607300000000002</v>
      </c>
      <c r="E2259">
        <v>704.73199999999997</v>
      </c>
      <c r="G2259">
        <f t="shared" si="62"/>
        <v>0.86355532467399054</v>
      </c>
    </row>
    <row r="2260" spans="1:7" x14ac:dyDescent="0.2">
      <c r="A2260">
        <v>37916</v>
      </c>
      <c r="C2260">
        <v>63.255400000000002</v>
      </c>
      <c r="E2260">
        <v>788.34400000000005</v>
      </c>
      <c r="G2260">
        <f t="shared" si="62"/>
        <v>0.76665589351740737</v>
      </c>
    </row>
    <row r="2261" spans="1:7" x14ac:dyDescent="0.2">
      <c r="A2261">
        <v>27341.200000000001</v>
      </c>
      <c r="C2261">
        <v>42.533999999999999</v>
      </c>
      <c r="E2261">
        <v>632.80200000000002</v>
      </c>
      <c r="G2261">
        <f t="shared" si="62"/>
        <v>0.85800808998138267</v>
      </c>
    </row>
    <row r="2262" spans="1:7" x14ac:dyDescent="0.2">
      <c r="A2262">
        <v>32542</v>
      </c>
      <c r="C2262">
        <v>39.368099999999998</v>
      </c>
      <c r="E2262">
        <v>730.79899999999998</v>
      </c>
      <c r="G2262">
        <f t="shared" si="62"/>
        <v>0.76569859309525834</v>
      </c>
    </row>
    <row r="2263" spans="1:7" x14ac:dyDescent="0.2">
      <c r="A2263">
        <v>31342.7</v>
      </c>
      <c r="C2263">
        <v>136.96299999999999</v>
      </c>
      <c r="E2263">
        <v>946.08299999999997</v>
      </c>
      <c r="G2263">
        <f t="shared" si="62"/>
        <v>0.44003520684830183</v>
      </c>
    </row>
    <row r="2264" spans="1:7" x14ac:dyDescent="0.2">
      <c r="A2264">
        <v>39659</v>
      </c>
      <c r="C2264">
        <v>42.104999999999997</v>
      </c>
      <c r="E2264">
        <v>811.86</v>
      </c>
      <c r="G2264">
        <f t="shared" si="62"/>
        <v>0.75611693921140866</v>
      </c>
    </row>
    <row r="2265" spans="1:7" x14ac:dyDescent="0.2">
      <c r="A2265">
        <v>36659.699999999997</v>
      </c>
      <c r="C2265">
        <v>50.251300000000001</v>
      </c>
      <c r="E2265">
        <v>761.73</v>
      </c>
      <c r="G2265">
        <f t="shared" si="62"/>
        <v>0.79395572280682869</v>
      </c>
    </row>
    <row r="2266" spans="1:7" x14ac:dyDescent="0.2">
      <c r="A2266">
        <v>29682</v>
      </c>
      <c r="C2266">
        <v>40.567399999999999</v>
      </c>
      <c r="E2266">
        <v>681.06500000000005</v>
      </c>
      <c r="G2266">
        <f t="shared" si="62"/>
        <v>0.80412864517197291</v>
      </c>
    </row>
    <row r="2267" spans="1:7" x14ac:dyDescent="0.2">
      <c r="A2267">
        <v>37084.699999999997</v>
      </c>
      <c r="C2267">
        <v>53.005200000000002</v>
      </c>
      <c r="E2267">
        <v>790.85400000000004</v>
      </c>
      <c r="G2267">
        <f t="shared" si="62"/>
        <v>0.74509497793092327</v>
      </c>
    </row>
    <row r="2268" spans="1:7" x14ac:dyDescent="0.2">
      <c r="A2268">
        <v>31322.6</v>
      </c>
      <c r="C2268">
        <v>28.359500000000001</v>
      </c>
      <c r="E2268">
        <v>642.66600000000005</v>
      </c>
      <c r="G2268">
        <f t="shared" si="62"/>
        <v>0.95300823398026235</v>
      </c>
    </row>
    <row r="2269" spans="1:7" x14ac:dyDescent="0.2">
      <c r="A2269">
        <v>30837.200000000001</v>
      </c>
      <c r="C2269">
        <v>36.983199999999997</v>
      </c>
      <c r="E2269">
        <v>658.77200000000005</v>
      </c>
      <c r="G2269">
        <f t="shared" si="62"/>
        <v>0.89292333122333101</v>
      </c>
    </row>
    <row r="2270" spans="1:7" x14ac:dyDescent="0.2">
      <c r="A2270">
        <v>19469.8</v>
      </c>
      <c r="C2270">
        <v>84.192800000000005</v>
      </c>
      <c r="E2270">
        <v>1031.99</v>
      </c>
      <c r="G2270">
        <f t="shared" si="62"/>
        <v>0.22973121503112148</v>
      </c>
    </row>
    <row r="2271" spans="1:7" x14ac:dyDescent="0.2">
      <c r="A2271">
        <v>28208.3</v>
      </c>
      <c r="C2271">
        <v>67.574200000000005</v>
      </c>
      <c r="E2271">
        <v>693.58</v>
      </c>
      <c r="G2271">
        <f t="shared" si="62"/>
        <v>0.73687409355818623</v>
      </c>
    </row>
    <row r="2272" spans="1:7" x14ac:dyDescent="0.2">
      <c r="A2272">
        <v>34141.199999999997</v>
      </c>
      <c r="C2272">
        <v>85.530100000000004</v>
      </c>
      <c r="E2272">
        <v>912.22500000000002</v>
      </c>
      <c r="G2272">
        <f t="shared" si="62"/>
        <v>0.51556608236580492</v>
      </c>
    </row>
    <row r="2273" spans="1:7" x14ac:dyDescent="0.2">
      <c r="A2273">
        <v>37175.599999999999</v>
      </c>
      <c r="C2273">
        <v>82.058700000000002</v>
      </c>
      <c r="E2273">
        <v>862.21400000000006</v>
      </c>
      <c r="G2273">
        <f t="shared" si="62"/>
        <v>0.62840168823443254</v>
      </c>
    </row>
    <row r="2274" spans="1:7" x14ac:dyDescent="0.2">
      <c r="A2274">
        <v>30448.5</v>
      </c>
      <c r="C2274">
        <v>58.234900000000003</v>
      </c>
      <c r="E2274">
        <v>770.73900000000003</v>
      </c>
      <c r="G2274">
        <f t="shared" si="62"/>
        <v>0.64411101991923825</v>
      </c>
    </row>
    <row r="2275" spans="1:7" x14ac:dyDescent="0.2">
      <c r="A2275">
        <v>45926.1</v>
      </c>
      <c r="C2275">
        <v>53.229799999999997</v>
      </c>
      <c r="E2275">
        <v>925.01199999999994</v>
      </c>
      <c r="G2275">
        <f t="shared" si="62"/>
        <v>0.67448816042274629</v>
      </c>
    </row>
    <row r="2276" spans="1:7" x14ac:dyDescent="0.2">
      <c r="A2276">
        <v>32395.1</v>
      </c>
      <c r="C2276">
        <v>45.547800000000002</v>
      </c>
      <c r="E2276">
        <v>752.14400000000001</v>
      </c>
      <c r="G2276">
        <f t="shared" si="62"/>
        <v>0.71959283643683991</v>
      </c>
    </row>
    <row r="2277" spans="1:7" x14ac:dyDescent="0.2">
      <c r="A2277">
        <v>3972.34</v>
      </c>
      <c r="C2277">
        <v>172.78</v>
      </c>
      <c r="E2277">
        <v>515.45100000000002</v>
      </c>
      <c r="G2277">
        <f t="shared" si="62"/>
        <v>0.18788025357028007</v>
      </c>
    </row>
    <row r="2278" spans="1:7" x14ac:dyDescent="0.2">
      <c r="A2278">
        <v>34413.4</v>
      </c>
      <c r="C2278">
        <v>32.472700000000003</v>
      </c>
      <c r="E2278">
        <v>681.77</v>
      </c>
      <c r="G2278">
        <f t="shared" si="62"/>
        <v>0.93038201308024326</v>
      </c>
    </row>
    <row r="2279" spans="1:7" x14ac:dyDescent="0.2">
      <c r="A2279">
        <v>33346.699999999997</v>
      </c>
      <c r="C2279">
        <v>204.61799999999999</v>
      </c>
      <c r="E2279">
        <v>1092.42</v>
      </c>
      <c r="G2279">
        <f t="shared" si="62"/>
        <v>0.35114223936084271</v>
      </c>
    </row>
    <row r="2280" spans="1:7" x14ac:dyDescent="0.2">
      <c r="A2280">
        <v>41288.1</v>
      </c>
      <c r="C2280">
        <v>76.822199999999995</v>
      </c>
      <c r="E2280">
        <v>881.548</v>
      </c>
      <c r="G2280">
        <f t="shared" si="62"/>
        <v>0.66764018094908528</v>
      </c>
    </row>
    <row r="2281" spans="1:7" x14ac:dyDescent="0.2">
      <c r="A2281">
        <v>32601.200000000001</v>
      </c>
      <c r="C2281">
        <v>38.520299999999999</v>
      </c>
      <c r="E2281">
        <v>710.13599999999997</v>
      </c>
      <c r="G2281">
        <f t="shared" si="62"/>
        <v>0.81238149869304555</v>
      </c>
    </row>
    <row r="2282" spans="1:7" x14ac:dyDescent="0.2">
      <c r="A2282">
        <v>36046.300000000003</v>
      </c>
      <c r="C2282">
        <v>41.920999999999999</v>
      </c>
      <c r="E2282">
        <v>701.46400000000006</v>
      </c>
      <c r="G2282">
        <f t="shared" si="62"/>
        <v>0.92057550580713954</v>
      </c>
    </row>
    <row r="2283" spans="1:7" x14ac:dyDescent="0.2">
      <c r="A2283">
        <v>32474.5</v>
      </c>
      <c r="C2283">
        <v>95.430800000000005</v>
      </c>
      <c r="E2283">
        <v>947.09799999999996</v>
      </c>
      <c r="G2283">
        <f t="shared" si="62"/>
        <v>0.45494838875428578</v>
      </c>
    </row>
    <row r="2284" spans="1:7" x14ac:dyDescent="0.2">
      <c r="A2284">
        <v>27757.7</v>
      </c>
      <c r="C2284">
        <v>39.5304</v>
      </c>
      <c r="E2284">
        <v>635.702</v>
      </c>
      <c r="G2284">
        <f t="shared" si="62"/>
        <v>0.86314909458710498</v>
      </c>
    </row>
    <row r="2285" spans="1:7" x14ac:dyDescent="0.2">
      <c r="A2285">
        <v>24051.599999999999</v>
      </c>
      <c r="C2285">
        <v>266.62700000000001</v>
      </c>
      <c r="E2285">
        <v>986.62800000000004</v>
      </c>
      <c r="G2285">
        <f t="shared" si="62"/>
        <v>0.31048927052112718</v>
      </c>
    </row>
    <row r="2286" spans="1:7" x14ac:dyDescent="0.2">
      <c r="A2286">
        <v>27754.5</v>
      </c>
      <c r="C2286">
        <v>27.1449</v>
      </c>
      <c r="E2286">
        <v>612.10799999999995</v>
      </c>
      <c r="G2286">
        <f t="shared" si="62"/>
        <v>0.93086519829471426</v>
      </c>
    </row>
    <row r="2287" spans="1:7" x14ac:dyDescent="0.2">
      <c r="A2287">
        <v>25977.599999999999</v>
      </c>
      <c r="C2287">
        <v>284.53100000000001</v>
      </c>
      <c r="E2287">
        <v>661.42</v>
      </c>
      <c r="G2287">
        <f t="shared" si="62"/>
        <v>0.74619764928658683</v>
      </c>
    </row>
    <row r="2288" spans="1:7" x14ac:dyDescent="0.2">
      <c r="A2288">
        <v>34185.300000000003</v>
      </c>
      <c r="C2288">
        <v>37.734900000000003</v>
      </c>
      <c r="E2288">
        <v>693.08900000000006</v>
      </c>
      <c r="G2288">
        <f t="shared" si="62"/>
        <v>0.89427456814979644</v>
      </c>
    </row>
    <row r="2289" spans="1:7" x14ac:dyDescent="0.2">
      <c r="A2289">
        <v>30490.7</v>
      </c>
      <c r="C2289">
        <v>29.888100000000001</v>
      </c>
      <c r="E2289">
        <v>634.178</v>
      </c>
      <c r="G2289">
        <f t="shared" si="62"/>
        <v>0.95269645251382584</v>
      </c>
    </row>
    <row r="2290" spans="1:7" x14ac:dyDescent="0.2">
      <c r="A2290">
        <v>31820.400000000001</v>
      </c>
      <c r="C2290">
        <v>33.472200000000001</v>
      </c>
      <c r="E2290">
        <v>669.83199999999999</v>
      </c>
      <c r="G2290">
        <f t="shared" si="62"/>
        <v>0.89121676834303254</v>
      </c>
    </row>
    <row r="2291" spans="1:7" x14ac:dyDescent="0.2">
      <c r="A2291">
        <v>38391.9</v>
      </c>
      <c r="C2291">
        <v>39.2408</v>
      </c>
      <c r="E2291">
        <v>801.85699999999997</v>
      </c>
      <c r="G2291">
        <f t="shared" si="62"/>
        <v>0.75033508342478161</v>
      </c>
    </row>
    <row r="2292" spans="1:7" x14ac:dyDescent="0.2">
      <c r="A2292">
        <v>27126.5</v>
      </c>
      <c r="C2292">
        <v>31.564399999999999</v>
      </c>
      <c r="E2292">
        <v>593.22500000000002</v>
      </c>
      <c r="G2292">
        <f t="shared" si="62"/>
        <v>0.96864439468235797</v>
      </c>
    </row>
    <row r="2293" spans="1:7" x14ac:dyDescent="0.2">
      <c r="A2293">
        <v>41728.400000000001</v>
      </c>
      <c r="C2293">
        <v>51.515500000000003</v>
      </c>
      <c r="E2293">
        <v>836.00599999999997</v>
      </c>
      <c r="G2293">
        <f t="shared" si="62"/>
        <v>0.7502783959331889</v>
      </c>
    </row>
    <row r="2294" spans="1:7" x14ac:dyDescent="0.2">
      <c r="A2294">
        <v>34699.9</v>
      </c>
      <c r="C2294">
        <v>30.9178</v>
      </c>
      <c r="E2294">
        <v>710.11</v>
      </c>
      <c r="G2294">
        <f t="shared" si="62"/>
        <v>0.86474182151974321</v>
      </c>
    </row>
    <row r="2295" spans="1:7" x14ac:dyDescent="0.2">
      <c r="A2295">
        <v>28275.5</v>
      </c>
      <c r="C2295">
        <v>144.56299999999999</v>
      </c>
      <c r="E2295">
        <v>1278.1199999999999</v>
      </c>
      <c r="G2295">
        <f t="shared" si="62"/>
        <v>0.21750864809508438</v>
      </c>
    </row>
    <row r="2296" spans="1:7" x14ac:dyDescent="0.2">
      <c r="A2296">
        <v>37489.5</v>
      </c>
      <c r="C2296">
        <v>50.041200000000003</v>
      </c>
      <c r="E2296">
        <v>748.92</v>
      </c>
      <c r="G2296">
        <f t="shared" si="62"/>
        <v>0.83994004691543522</v>
      </c>
    </row>
    <row r="2297" spans="1:7" x14ac:dyDescent="0.2">
      <c r="A2297">
        <v>34839.300000000003</v>
      </c>
      <c r="C2297">
        <v>29.5046</v>
      </c>
      <c r="E2297">
        <v>706.84199999999998</v>
      </c>
      <c r="G2297">
        <f t="shared" si="62"/>
        <v>0.87626249453217175</v>
      </c>
    </row>
    <row r="2298" spans="1:7" x14ac:dyDescent="0.2">
      <c r="A2298">
        <v>36641.5</v>
      </c>
      <c r="C2298">
        <v>26.280899999999999</v>
      </c>
      <c r="E2298">
        <v>719.54300000000001</v>
      </c>
      <c r="G2298">
        <f t="shared" si="62"/>
        <v>0.88934288767196445</v>
      </c>
    </row>
    <row r="2299" spans="1:7" x14ac:dyDescent="0.2">
      <c r="A2299">
        <v>43090.9</v>
      </c>
      <c r="C2299">
        <v>30.126200000000001</v>
      </c>
      <c r="E2299">
        <v>760.69299999999998</v>
      </c>
      <c r="G2299">
        <f t="shared" si="62"/>
        <v>0.93578530800208537</v>
      </c>
    </row>
    <row r="2300" spans="1:7" x14ac:dyDescent="0.2">
      <c r="A2300">
        <v>33266.400000000001</v>
      </c>
      <c r="C2300">
        <v>25.241199999999999</v>
      </c>
      <c r="E2300">
        <v>666.20299999999997</v>
      </c>
      <c r="G2300">
        <f t="shared" si="62"/>
        <v>0.94189422543827461</v>
      </c>
    </row>
    <row r="2301" spans="1:7" x14ac:dyDescent="0.2">
      <c r="A2301">
        <v>47817.4</v>
      </c>
      <c r="C2301">
        <v>59.438099999999999</v>
      </c>
      <c r="E2301">
        <v>1074.7</v>
      </c>
      <c r="G2301">
        <f t="shared" si="62"/>
        <v>0.52026062428833719</v>
      </c>
    </row>
    <row r="2302" spans="1:7" x14ac:dyDescent="0.2">
      <c r="A2302">
        <v>33187.4</v>
      </c>
      <c r="C2302">
        <v>35.512099999999997</v>
      </c>
      <c r="E2302">
        <v>665.64200000000005</v>
      </c>
      <c r="G2302">
        <f t="shared" si="62"/>
        <v>0.9412419900103931</v>
      </c>
    </row>
    <row r="2303" spans="1:7" x14ac:dyDescent="0.2">
      <c r="A2303">
        <v>37159.599999999999</v>
      </c>
      <c r="C2303">
        <v>34.344099999999997</v>
      </c>
      <c r="E2303">
        <v>721.77300000000002</v>
      </c>
      <c r="G2303">
        <f t="shared" si="62"/>
        <v>0.89635338654490659</v>
      </c>
    </row>
    <row r="2304" spans="1:7" x14ac:dyDescent="0.2">
      <c r="A2304">
        <v>39686.9</v>
      </c>
      <c r="C2304">
        <v>44.684899999999999</v>
      </c>
      <c r="E2304">
        <v>737.01499999999999</v>
      </c>
      <c r="G2304">
        <f t="shared" si="62"/>
        <v>0.91812966614534774</v>
      </c>
    </row>
    <row r="2305" spans="1:7" x14ac:dyDescent="0.2">
      <c r="A2305">
        <v>46858</v>
      </c>
      <c r="C2305">
        <v>48.123800000000003</v>
      </c>
      <c r="E2305">
        <v>824.101</v>
      </c>
      <c r="G2305">
        <f t="shared" si="62"/>
        <v>0.86702648283804939</v>
      </c>
    </row>
    <row r="2306" spans="1:7" x14ac:dyDescent="0.2">
      <c r="A2306">
        <v>35979.9</v>
      </c>
      <c r="C2306">
        <v>33.4754</v>
      </c>
      <c r="E2306">
        <v>718.654</v>
      </c>
      <c r="G2306">
        <f t="shared" si="62"/>
        <v>0.87544679029681294</v>
      </c>
    </row>
    <row r="2307" spans="1:7" x14ac:dyDescent="0.2">
      <c r="A2307">
        <v>45766.6</v>
      </c>
      <c r="C2307">
        <v>73.413200000000003</v>
      </c>
      <c r="E2307">
        <v>1009.06</v>
      </c>
      <c r="G2307">
        <f t="shared" ref="G2307:G2370" si="63" xml:space="preserve"> 3.14159*4*A2307/(E2307*E2307)</f>
        <v>0.56483833694641639</v>
      </c>
    </row>
    <row r="2308" spans="1:7" x14ac:dyDescent="0.2">
      <c r="A2308">
        <v>39990.800000000003</v>
      </c>
      <c r="C2308">
        <v>33.477499999999999</v>
      </c>
      <c r="E2308">
        <v>754.97400000000005</v>
      </c>
      <c r="G2308">
        <f t="shared" si="63"/>
        <v>0.8816690552503853</v>
      </c>
    </row>
    <row r="2309" spans="1:7" x14ac:dyDescent="0.2">
      <c r="A2309">
        <v>36349.1</v>
      </c>
      <c r="C2309">
        <v>27.856000000000002</v>
      </c>
      <c r="E2309">
        <v>702.29200000000003</v>
      </c>
      <c r="G2309">
        <f t="shared" si="63"/>
        <v>0.92612096766736685</v>
      </c>
    </row>
    <row r="2310" spans="1:7" x14ac:dyDescent="0.2">
      <c r="A2310">
        <v>40188.5</v>
      </c>
      <c r="C2310">
        <v>30.348600000000001</v>
      </c>
      <c r="E2310">
        <v>785.16200000000003</v>
      </c>
      <c r="G2310">
        <f t="shared" si="63"/>
        <v>0.81920529139026177</v>
      </c>
    </row>
    <row r="2311" spans="1:7" x14ac:dyDescent="0.2">
      <c r="A2311">
        <v>40436.400000000001</v>
      </c>
      <c r="C2311">
        <v>48.919499999999999</v>
      </c>
      <c r="E2311">
        <v>790.04200000000003</v>
      </c>
      <c r="G2311">
        <f t="shared" si="63"/>
        <v>0.81410724869554774</v>
      </c>
    </row>
    <row r="2312" spans="1:7" x14ac:dyDescent="0.2">
      <c r="A2312">
        <v>24783.1</v>
      </c>
      <c r="C2312">
        <v>30.587800000000001</v>
      </c>
      <c r="E2312">
        <v>567.02599999999995</v>
      </c>
      <c r="G2312">
        <f t="shared" si="63"/>
        <v>0.96863282006892082</v>
      </c>
    </row>
    <row r="2313" spans="1:7" x14ac:dyDescent="0.2">
      <c r="A2313">
        <v>35454.1</v>
      </c>
      <c r="C2313">
        <v>42.1479</v>
      </c>
      <c r="E2313">
        <v>768.09100000000001</v>
      </c>
      <c r="G2313">
        <f t="shared" si="63"/>
        <v>0.7551802262218088</v>
      </c>
    </row>
    <row r="2314" spans="1:7" x14ac:dyDescent="0.2">
      <c r="A2314">
        <v>40911.800000000003</v>
      </c>
      <c r="C2314">
        <v>28.276900000000001</v>
      </c>
      <c r="E2314">
        <v>756.97500000000002</v>
      </c>
      <c r="G2314">
        <f t="shared" si="63"/>
        <v>0.89721187185841422</v>
      </c>
    </row>
    <row r="2315" spans="1:7" x14ac:dyDescent="0.2">
      <c r="A2315">
        <v>32216.6</v>
      </c>
      <c r="C2315">
        <v>29.110099999999999</v>
      </c>
      <c r="E2315">
        <v>660.04499999999996</v>
      </c>
      <c r="G2315">
        <f t="shared" si="63"/>
        <v>0.92927041559123336</v>
      </c>
    </row>
    <row r="2316" spans="1:7" x14ac:dyDescent="0.2">
      <c r="A2316">
        <v>31342.7</v>
      </c>
      <c r="C2316">
        <v>35.480400000000003</v>
      </c>
      <c r="E2316">
        <v>655.38699999999994</v>
      </c>
      <c r="G2316">
        <f t="shared" si="63"/>
        <v>0.91695971836475876</v>
      </c>
    </row>
    <row r="2317" spans="1:7" x14ac:dyDescent="0.2">
      <c r="A2317">
        <v>28823.7</v>
      </c>
      <c r="C2317">
        <v>28.1401</v>
      </c>
      <c r="E2317">
        <v>627.37300000000005</v>
      </c>
      <c r="G2317">
        <f t="shared" si="63"/>
        <v>0.92025371159708758</v>
      </c>
    </row>
    <row r="2318" spans="1:7" x14ac:dyDescent="0.2">
      <c r="A2318">
        <v>40063.599999999999</v>
      </c>
      <c r="C2318">
        <v>57.713799999999999</v>
      </c>
      <c r="E2318">
        <v>936.79</v>
      </c>
      <c r="G2318">
        <f t="shared" si="63"/>
        <v>0.57368695701268269</v>
      </c>
    </row>
    <row r="2319" spans="1:7" x14ac:dyDescent="0.2">
      <c r="A2319">
        <v>28373.1</v>
      </c>
      <c r="C2319">
        <v>30.738199999999999</v>
      </c>
      <c r="E2319">
        <v>609.94200000000001</v>
      </c>
      <c r="G2319">
        <f t="shared" si="63"/>
        <v>0.958383232705039</v>
      </c>
    </row>
    <row r="2320" spans="1:7" x14ac:dyDescent="0.2">
      <c r="A2320">
        <v>32270.7</v>
      </c>
      <c r="C2320">
        <v>44.491900000000001</v>
      </c>
      <c r="E2320">
        <v>675.96</v>
      </c>
      <c r="G2320">
        <f t="shared" si="63"/>
        <v>0.88751538169141742</v>
      </c>
    </row>
    <row r="2321" spans="1:7" x14ac:dyDescent="0.2">
      <c r="A2321">
        <v>25340.5</v>
      </c>
      <c r="C2321">
        <v>140.602</v>
      </c>
      <c r="E2321">
        <v>869.2</v>
      </c>
      <c r="G2321">
        <f t="shared" si="63"/>
        <v>0.42148802637121385</v>
      </c>
    </row>
    <row r="2322" spans="1:7" x14ac:dyDescent="0.2">
      <c r="A2322">
        <v>40000.5</v>
      </c>
      <c r="C2322">
        <v>45.0199</v>
      </c>
      <c r="E2322">
        <v>743.73800000000006</v>
      </c>
      <c r="G2322">
        <f t="shared" si="63"/>
        <v>0.9087302266381202</v>
      </c>
    </row>
    <row r="2323" spans="1:7" x14ac:dyDescent="0.2">
      <c r="A2323">
        <v>39918.1</v>
      </c>
      <c r="C2323">
        <v>41.340899999999998</v>
      </c>
      <c r="E2323">
        <v>758.36300000000006</v>
      </c>
      <c r="G2323">
        <f t="shared" si="63"/>
        <v>0.87221808466064998</v>
      </c>
    </row>
    <row r="2324" spans="1:7" x14ac:dyDescent="0.2">
      <c r="A2324">
        <v>39050.800000000003</v>
      </c>
      <c r="C2324">
        <v>28.881900000000002</v>
      </c>
      <c r="E2324">
        <v>744.56700000000001</v>
      </c>
      <c r="G2324">
        <f t="shared" si="63"/>
        <v>0.88518055414531061</v>
      </c>
    </row>
    <row r="2325" spans="1:7" x14ac:dyDescent="0.2">
      <c r="A2325">
        <v>39781.1</v>
      </c>
      <c r="C2325">
        <v>52.773899999999998</v>
      </c>
      <c r="E2325">
        <v>924.36</v>
      </c>
      <c r="G2325">
        <f t="shared" si="63"/>
        <v>0.58506483672183662</v>
      </c>
    </row>
    <row r="2326" spans="1:7" x14ac:dyDescent="0.2">
      <c r="A2326">
        <v>30534.6</v>
      </c>
      <c r="C2326">
        <v>35.994900000000001</v>
      </c>
      <c r="E2326">
        <v>634.45899999999995</v>
      </c>
      <c r="G2326">
        <f t="shared" si="63"/>
        <v>0.95322320822208784</v>
      </c>
    </row>
    <row r="2327" spans="1:7" x14ac:dyDescent="0.2">
      <c r="A2327">
        <v>35473</v>
      </c>
      <c r="C2327">
        <v>27.552299999999999</v>
      </c>
      <c r="E2327">
        <v>677.41099999999994</v>
      </c>
      <c r="G2327">
        <f t="shared" si="63"/>
        <v>0.9714107985908933</v>
      </c>
    </row>
    <row r="2328" spans="1:7" x14ac:dyDescent="0.2">
      <c r="A2328">
        <v>13407.5</v>
      </c>
      <c r="C2328">
        <v>254.655</v>
      </c>
      <c r="E2328">
        <v>1524.81</v>
      </c>
      <c r="G2328">
        <f t="shared" si="63"/>
        <v>7.2464590083948177E-2</v>
      </c>
    </row>
    <row r="2329" spans="1:7" x14ac:dyDescent="0.2">
      <c r="A2329">
        <v>39396.9</v>
      </c>
      <c r="C2329">
        <v>57.572000000000003</v>
      </c>
      <c r="E2329">
        <v>860.32600000000002</v>
      </c>
      <c r="G2329">
        <f t="shared" si="63"/>
        <v>0.66887575065934424</v>
      </c>
    </row>
    <row r="2330" spans="1:7" x14ac:dyDescent="0.2">
      <c r="A2330">
        <v>34653.9</v>
      </c>
      <c r="C2330">
        <v>88.222800000000007</v>
      </c>
      <c r="E2330">
        <v>870.30899999999997</v>
      </c>
      <c r="G2330">
        <f t="shared" si="63"/>
        <v>0.57492959606622573</v>
      </c>
    </row>
    <row r="2331" spans="1:7" x14ac:dyDescent="0.2">
      <c r="A2331">
        <v>33624.199999999997</v>
      </c>
      <c r="C2331">
        <v>25.635400000000001</v>
      </c>
      <c r="E2331">
        <v>673.09799999999996</v>
      </c>
      <c r="G2331">
        <f t="shared" si="63"/>
        <v>0.93262028458900892</v>
      </c>
    </row>
    <row r="2332" spans="1:7" x14ac:dyDescent="0.2">
      <c r="A2332">
        <v>26327.9</v>
      </c>
      <c r="C2332">
        <v>28.248200000000001</v>
      </c>
      <c r="E2332">
        <v>587.93600000000004</v>
      </c>
      <c r="G2332">
        <f t="shared" si="63"/>
        <v>0.95711827847700848</v>
      </c>
    </row>
    <row r="2333" spans="1:7" x14ac:dyDescent="0.2">
      <c r="A2333">
        <v>46535.7</v>
      </c>
      <c r="C2333">
        <v>37.229599999999998</v>
      </c>
      <c r="E2333">
        <v>792.66200000000003</v>
      </c>
      <c r="G2333">
        <f t="shared" si="63"/>
        <v>0.93072133795054746</v>
      </c>
    </row>
    <row r="2334" spans="1:7" x14ac:dyDescent="0.2">
      <c r="A2334">
        <v>43851.4</v>
      </c>
      <c r="C2334">
        <v>90.721800000000002</v>
      </c>
      <c r="E2334">
        <v>1025.6300000000001</v>
      </c>
      <c r="G2334">
        <f t="shared" si="63"/>
        <v>0.52385552559137705</v>
      </c>
    </row>
    <row r="2335" spans="1:7" x14ac:dyDescent="0.2">
      <c r="A2335">
        <v>44488.800000000003</v>
      </c>
      <c r="C2335">
        <v>48.838099999999997</v>
      </c>
      <c r="E2335">
        <v>797.38099999999997</v>
      </c>
      <c r="G2335">
        <f t="shared" si="63"/>
        <v>0.87928248586977131</v>
      </c>
    </row>
    <row r="2336" spans="1:7" x14ac:dyDescent="0.2">
      <c r="A2336">
        <v>31134.7</v>
      </c>
      <c r="C2336">
        <v>33.018099999999997</v>
      </c>
      <c r="E2336">
        <v>649.09199999999998</v>
      </c>
      <c r="G2336">
        <f t="shared" si="63"/>
        <v>0.92862777585431444</v>
      </c>
    </row>
    <row r="2337" spans="1:7" x14ac:dyDescent="0.2">
      <c r="A2337">
        <v>30136.9</v>
      </c>
      <c r="C2337">
        <v>36.604500000000002</v>
      </c>
      <c r="E2337">
        <v>645.74300000000005</v>
      </c>
      <c r="G2337">
        <f t="shared" si="63"/>
        <v>0.90821497865330048</v>
      </c>
    </row>
    <row r="2338" spans="1:7" x14ac:dyDescent="0.2">
      <c r="A2338">
        <v>37450.300000000003</v>
      </c>
      <c r="C2338">
        <v>60.416600000000003</v>
      </c>
      <c r="E2338">
        <v>802.24599999999998</v>
      </c>
      <c r="G2338">
        <f t="shared" si="63"/>
        <v>0.73122272074067507</v>
      </c>
    </row>
    <row r="2339" spans="1:7" x14ac:dyDescent="0.2">
      <c r="A2339">
        <v>39641.4</v>
      </c>
      <c r="C2339">
        <v>32.251600000000003</v>
      </c>
      <c r="E2339">
        <v>798.798</v>
      </c>
      <c r="G2339">
        <f t="shared" si="63"/>
        <v>0.78070065444249293</v>
      </c>
    </row>
    <row r="2340" spans="1:7" x14ac:dyDescent="0.2">
      <c r="A2340">
        <v>36419.199999999997</v>
      </c>
      <c r="C2340">
        <v>35.588500000000003</v>
      </c>
      <c r="E2340">
        <v>732.96799999999996</v>
      </c>
      <c r="G2340">
        <f t="shared" si="63"/>
        <v>0.85186322416290672</v>
      </c>
    </row>
    <row r="2341" spans="1:7" x14ac:dyDescent="0.2">
      <c r="A2341">
        <v>34481.599999999999</v>
      </c>
      <c r="C2341">
        <v>45.149299999999997</v>
      </c>
      <c r="E2341">
        <v>717.202</v>
      </c>
      <c r="G2341">
        <f t="shared" si="63"/>
        <v>0.84239139676581887</v>
      </c>
    </row>
    <row r="2342" spans="1:7" x14ac:dyDescent="0.2">
      <c r="A2342">
        <v>26865.9</v>
      </c>
      <c r="C2342">
        <v>40.415399999999998</v>
      </c>
      <c r="E2342">
        <v>630.42399999999998</v>
      </c>
      <c r="G2342">
        <f t="shared" si="63"/>
        <v>0.84946485338205024</v>
      </c>
    </row>
    <row r="2343" spans="1:7" x14ac:dyDescent="0.2">
      <c r="A2343">
        <v>40984.300000000003</v>
      </c>
      <c r="C2343">
        <v>68.246399999999994</v>
      </c>
      <c r="E2343">
        <v>967.05899999999997</v>
      </c>
      <c r="G2343">
        <f t="shared" si="63"/>
        <v>0.55070760878224334</v>
      </c>
    </row>
    <row r="2344" spans="1:7" x14ac:dyDescent="0.2">
      <c r="A2344">
        <v>28515.4</v>
      </c>
      <c r="C2344">
        <v>43.820799999999998</v>
      </c>
      <c r="E2344">
        <v>632.03</v>
      </c>
      <c r="G2344">
        <f t="shared" si="63"/>
        <v>0.89704365596765956</v>
      </c>
    </row>
    <row r="2345" spans="1:7" x14ac:dyDescent="0.2">
      <c r="A2345">
        <v>30481.5</v>
      </c>
      <c r="C2345">
        <v>42.618099999999998</v>
      </c>
      <c r="E2345">
        <v>683.71100000000001</v>
      </c>
      <c r="G2345">
        <f t="shared" si="63"/>
        <v>0.81940893964222183</v>
      </c>
    </row>
    <row r="2346" spans="1:7" x14ac:dyDescent="0.2">
      <c r="A2346">
        <v>34660.1</v>
      </c>
      <c r="C2346">
        <v>49.489100000000001</v>
      </c>
      <c r="E2346">
        <v>713.44799999999998</v>
      </c>
      <c r="G2346">
        <f t="shared" si="63"/>
        <v>0.85568645789584208</v>
      </c>
    </row>
    <row r="2347" spans="1:7" x14ac:dyDescent="0.2">
      <c r="A2347">
        <v>25390.1</v>
      </c>
      <c r="C2347">
        <v>405.56</v>
      </c>
      <c r="E2347">
        <v>1526.34</v>
      </c>
      <c r="G2347">
        <f t="shared" si="63"/>
        <v>0.13695293286179311</v>
      </c>
    </row>
    <row r="2348" spans="1:7" x14ac:dyDescent="0.2">
      <c r="A2348">
        <v>32675.200000000001</v>
      </c>
      <c r="C2348">
        <v>39.136499999999998</v>
      </c>
      <c r="E2348">
        <v>666.37900000000002</v>
      </c>
      <c r="G2348">
        <f t="shared" si="63"/>
        <v>0.92466654917819546</v>
      </c>
    </row>
    <row r="2349" spans="1:7" x14ac:dyDescent="0.2">
      <c r="A2349">
        <v>32826.1</v>
      </c>
      <c r="C2349">
        <v>91.076599999999999</v>
      </c>
      <c r="E2349">
        <v>817.75400000000002</v>
      </c>
      <c r="G2349">
        <f t="shared" si="63"/>
        <v>0.61685548546701741</v>
      </c>
    </row>
    <row r="2350" spans="1:7" x14ac:dyDescent="0.2">
      <c r="A2350">
        <v>29007.3</v>
      </c>
      <c r="C2350">
        <v>48.531399999999998</v>
      </c>
      <c r="E2350">
        <v>638.06899999999996</v>
      </c>
      <c r="G2350">
        <f t="shared" si="63"/>
        <v>0.89532665270963019</v>
      </c>
    </row>
    <row r="2351" spans="1:7" x14ac:dyDescent="0.2">
      <c r="A2351">
        <v>32603.1</v>
      </c>
      <c r="C2351">
        <v>48.8245</v>
      </c>
      <c r="E2351">
        <v>720.42</v>
      </c>
      <c r="G2351">
        <f t="shared" si="63"/>
        <v>0.78939954402333168</v>
      </c>
    </row>
    <row r="2352" spans="1:7" x14ac:dyDescent="0.2">
      <c r="A2352">
        <v>37698.6</v>
      </c>
      <c r="C2352">
        <v>25.244399999999999</v>
      </c>
      <c r="E2352">
        <v>698.98500000000001</v>
      </c>
      <c r="G2352">
        <f t="shared" si="63"/>
        <v>0.96961428996153765</v>
      </c>
    </row>
    <row r="2353" spans="1:7" x14ac:dyDescent="0.2">
      <c r="A2353">
        <v>25244.9</v>
      </c>
      <c r="C2353">
        <v>158.48400000000001</v>
      </c>
      <c r="E2353">
        <v>1146.3</v>
      </c>
      <c r="G2353">
        <f t="shared" si="63"/>
        <v>0.24142740540096966</v>
      </c>
    </row>
    <row r="2354" spans="1:7" x14ac:dyDescent="0.2">
      <c r="A2354">
        <v>36930.1</v>
      </c>
      <c r="C2354">
        <v>42.229700000000001</v>
      </c>
      <c r="E2354">
        <v>729.20299999999997</v>
      </c>
      <c r="G2354">
        <f t="shared" si="63"/>
        <v>0.8727564908258153</v>
      </c>
    </row>
    <row r="2355" spans="1:7" x14ac:dyDescent="0.2">
      <c r="A2355">
        <v>31640</v>
      </c>
      <c r="C2355">
        <v>28.805</v>
      </c>
      <c r="E2355">
        <v>646.33699999999999</v>
      </c>
      <c r="G2355">
        <f t="shared" si="63"/>
        <v>0.95176106771252722</v>
      </c>
    </row>
    <row r="2356" spans="1:7" x14ac:dyDescent="0.2">
      <c r="A2356">
        <v>34506.6</v>
      </c>
      <c r="C2356">
        <v>67.098600000000005</v>
      </c>
      <c r="E2356">
        <v>734.66</v>
      </c>
      <c r="G2356">
        <f t="shared" si="63"/>
        <v>0.80341304260288804</v>
      </c>
    </row>
    <row r="2357" spans="1:7" x14ac:dyDescent="0.2">
      <c r="A2357">
        <v>36800.699999999997</v>
      </c>
      <c r="C2357">
        <v>45.644599999999997</v>
      </c>
      <c r="E2357">
        <v>754.32100000000003</v>
      </c>
      <c r="G2357">
        <f t="shared" si="63"/>
        <v>0.81274289180956583</v>
      </c>
    </row>
    <row r="2358" spans="1:7" x14ac:dyDescent="0.2">
      <c r="A2358">
        <v>39303.9</v>
      </c>
      <c r="C2358">
        <v>53.7881</v>
      </c>
      <c r="E2358">
        <v>769.923</v>
      </c>
      <c r="G2358">
        <f t="shared" si="63"/>
        <v>0.83320248442325073</v>
      </c>
    </row>
    <row r="2359" spans="1:7" x14ac:dyDescent="0.2">
      <c r="A2359">
        <v>42091.8</v>
      </c>
      <c r="C2359">
        <v>88.649100000000004</v>
      </c>
      <c r="E2359">
        <v>1016.36</v>
      </c>
      <c r="G2359">
        <f t="shared" si="63"/>
        <v>0.51204940548206923</v>
      </c>
    </row>
    <row r="2360" spans="1:7" x14ac:dyDescent="0.2">
      <c r="A2360">
        <v>42786.1</v>
      </c>
      <c r="C2360">
        <v>26.0456</v>
      </c>
      <c r="E2360">
        <v>753.25900000000001</v>
      </c>
      <c r="G2360">
        <f t="shared" si="63"/>
        <v>0.94759670154519771</v>
      </c>
    </row>
    <row r="2361" spans="1:7" x14ac:dyDescent="0.2">
      <c r="A2361">
        <v>48817.599999999999</v>
      </c>
      <c r="C2361">
        <v>65.572999999999993</v>
      </c>
      <c r="E2361">
        <v>1108.81</v>
      </c>
      <c r="G2361">
        <f t="shared" si="63"/>
        <v>0.49896680452341369</v>
      </c>
    </row>
    <row r="2362" spans="1:7" x14ac:dyDescent="0.2">
      <c r="A2362">
        <v>243.67699999999999</v>
      </c>
      <c r="C2362">
        <v>7.9668900000000002</v>
      </c>
      <c r="E2362">
        <v>55.636099999999999</v>
      </c>
      <c r="G2362">
        <f t="shared" si="63"/>
        <v>0.98926052229631289</v>
      </c>
    </row>
    <row r="2363" spans="1:7" x14ac:dyDescent="0.2">
      <c r="A2363">
        <v>29218.2</v>
      </c>
      <c r="C2363">
        <v>24.322299999999998</v>
      </c>
      <c r="E2363">
        <v>614.58299999999997</v>
      </c>
      <c r="G2363">
        <f t="shared" si="63"/>
        <v>0.97207968830977887</v>
      </c>
    </row>
    <row r="2364" spans="1:7" x14ac:dyDescent="0.2">
      <c r="A2364">
        <v>29837.599999999999</v>
      </c>
      <c r="C2364">
        <v>118.842</v>
      </c>
      <c r="E2364">
        <v>908.80600000000004</v>
      </c>
      <c r="G2364">
        <f t="shared" si="63"/>
        <v>0.45397403433014816</v>
      </c>
    </row>
    <row r="2365" spans="1:7" x14ac:dyDescent="0.2">
      <c r="A2365">
        <v>13924.1</v>
      </c>
      <c r="C2365">
        <v>160.232</v>
      </c>
      <c r="E2365">
        <v>740.05399999999997</v>
      </c>
      <c r="G2365">
        <f t="shared" si="63"/>
        <v>0.31948451267737399</v>
      </c>
    </row>
    <row r="2366" spans="1:7" x14ac:dyDescent="0.2">
      <c r="A2366">
        <v>35563.1</v>
      </c>
      <c r="C2366">
        <v>33.840800000000002</v>
      </c>
      <c r="E2366">
        <v>699.18899999999996</v>
      </c>
      <c r="G2366">
        <f t="shared" si="63"/>
        <v>0.91415519973613935</v>
      </c>
    </row>
    <row r="2367" spans="1:7" x14ac:dyDescent="0.2">
      <c r="A2367">
        <v>44669.9</v>
      </c>
      <c r="C2367">
        <v>47.793900000000001</v>
      </c>
      <c r="E2367">
        <v>851.94799999999998</v>
      </c>
      <c r="G2367">
        <f t="shared" si="63"/>
        <v>0.77338955423082933</v>
      </c>
    </row>
    <row r="2368" spans="1:7" x14ac:dyDescent="0.2">
      <c r="A2368">
        <v>40306.5</v>
      </c>
      <c r="C2368">
        <v>182.51400000000001</v>
      </c>
      <c r="E2368">
        <v>876.20699999999999</v>
      </c>
      <c r="G2368">
        <f t="shared" si="63"/>
        <v>0.6597374664341632</v>
      </c>
    </row>
    <row r="2369" spans="1:7" x14ac:dyDescent="0.2">
      <c r="A2369">
        <v>41910.699999999997</v>
      </c>
      <c r="C2369">
        <v>43.863</v>
      </c>
      <c r="E2369">
        <v>775.74</v>
      </c>
      <c r="G2369">
        <f t="shared" si="63"/>
        <v>0.87518938202225149</v>
      </c>
    </row>
    <row r="2370" spans="1:7" x14ac:dyDescent="0.2">
      <c r="A2370">
        <v>29701.9</v>
      </c>
      <c r="C2370">
        <v>30.8919</v>
      </c>
      <c r="E2370">
        <v>635.40499999999997</v>
      </c>
      <c r="G2370">
        <f t="shared" si="63"/>
        <v>0.92446925584026007</v>
      </c>
    </row>
    <row r="2371" spans="1:7" x14ac:dyDescent="0.2">
      <c r="A2371">
        <v>43184</v>
      </c>
      <c r="C2371">
        <v>46.688699999999997</v>
      </c>
      <c r="E2371">
        <v>832.38199999999995</v>
      </c>
      <c r="G2371">
        <f t="shared" ref="G2371:G2387" si="64" xml:space="preserve"> 3.14159*4*A2371/(E2371*E2371)</f>
        <v>0.78322583443126625</v>
      </c>
    </row>
    <row r="2372" spans="1:7" x14ac:dyDescent="0.2">
      <c r="A2372">
        <v>9565.57</v>
      </c>
      <c r="C2372">
        <v>128.136</v>
      </c>
      <c r="E2372">
        <v>1264.81</v>
      </c>
      <c r="G2372">
        <f t="shared" si="64"/>
        <v>7.5139754217380159E-2</v>
      </c>
    </row>
    <row r="2373" spans="1:7" x14ac:dyDescent="0.2">
      <c r="A2373">
        <v>28903.5</v>
      </c>
      <c r="C2373">
        <v>33.902200000000001</v>
      </c>
      <c r="E2373">
        <v>618.44299999999998</v>
      </c>
      <c r="G2373">
        <f t="shared" si="64"/>
        <v>0.94964344875510276</v>
      </c>
    </row>
    <row r="2374" spans="1:7" x14ac:dyDescent="0.2">
      <c r="A2374">
        <v>42646</v>
      </c>
      <c r="C2374">
        <v>39.214300000000001</v>
      </c>
      <c r="E2374">
        <v>998.35299999999995</v>
      </c>
      <c r="G2374">
        <f t="shared" si="64"/>
        <v>0.53767463029113782</v>
      </c>
    </row>
    <row r="2375" spans="1:7" x14ac:dyDescent="0.2">
      <c r="A2375">
        <v>7176.21</v>
      </c>
      <c r="C2375">
        <v>191.13200000000001</v>
      </c>
      <c r="E2375">
        <v>944.33399999999995</v>
      </c>
      <c r="G2375">
        <f t="shared" si="64"/>
        <v>0.10112380058147918</v>
      </c>
    </row>
    <row r="2376" spans="1:7" x14ac:dyDescent="0.2">
      <c r="A2376">
        <v>20646</v>
      </c>
      <c r="C2376">
        <v>250.07900000000001</v>
      </c>
      <c r="E2376">
        <v>1181.6600000000001</v>
      </c>
      <c r="G2376">
        <f t="shared" si="64"/>
        <v>0.18580626395617947</v>
      </c>
    </row>
    <row r="2377" spans="1:7" x14ac:dyDescent="0.2">
      <c r="A2377">
        <v>41037.4</v>
      </c>
      <c r="C2377">
        <v>29.235600000000002</v>
      </c>
      <c r="E2377">
        <v>746.41200000000003</v>
      </c>
      <c r="G2377">
        <f t="shared" si="64"/>
        <v>0.9256186762698746</v>
      </c>
    </row>
    <row r="2378" spans="1:7" x14ac:dyDescent="0.2">
      <c r="A2378">
        <v>40672.400000000001</v>
      </c>
      <c r="C2378">
        <v>122.75</v>
      </c>
      <c r="E2378">
        <v>876.80700000000002</v>
      </c>
      <c r="G2378">
        <f t="shared" si="64"/>
        <v>0.66481572070183625</v>
      </c>
    </row>
    <row r="2379" spans="1:7" x14ac:dyDescent="0.2">
      <c r="A2379">
        <v>41387.4</v>
      </c>
      <c r="C2379">
        <v>290.72899999999998</v>
      </c>
      <c r="E2379">
        <v>924.18100000000004</v>
      </c>
      <c r="G2379">
        <f t="shared" si="64"/>
        <v>0.60892467101401382</v>
      </c>
    </row>
    <row r="2380" spans="1:7" x14ac:dyDescent="0.2">
      <c r="A2380">
        <v>42018.1</v>
      </c>
      <c r="C2380">
        <v>41.011499999999998</v>
      </c>
      <c r="E2380">
        <v>773.78800000000001</v>
      </c>
      <c r="G2380">
        <f t="shared" si="64"/>
        <v>0.88186463535519388</v>
      </c>
    </row>
    <row r="2381" spans="1:7" x14ac:dyDescent="0.2">
      <c r="A2381">
        <v>41657</v>
      </c>
      <c r="C2381">
        <v>68.4238</v>
      </c>
      <c r="E2381">
        <v>803.18899999999996</v>
      </c>
      <c r="G2381">
        <f t="shared" si="64"/>
        <v>0.81145040895171949</v>
      </c>
    </row>
    <row r="2382" spans="1:7" x14ac:dyDescent="0.2">
      <c r="A2382">
        <v>41847.1</v>
      </c>
      <c r="C2382">
        <v>37.421300000000002</v>
      </c>
      <c r="E2382">
        <v>743.89300000000003</v>
      </c>
      <c r="G2382">
        <f t="shared" si="64"/>
        <v>0.95028510028022017</v>
      </c>
    </row>
    <row r="2383" spans="1:7" x14ac:dyDescent="0.2">
      <c r="A2383">
        <v>31445.5</v>
      </c>
      <c r="C2383">
        <v>27.0487</v>
      </c>
      <c r="E2383">
        <v>650.13300000000004</v>
      </c>
      <c r="G2383">
        <f t="shared" si="64"/>
        <v>0.93489659933867064</v>
      </c>
    </row>
    <row r="2384" spans="1:7" x14ac:dyDescent="0.2">
      <c r="A2384">
        <v>39524.5</v>
      </c>
      <c r="C2384">
        <v>50.292700000000004</v>
      </c>
      <c r="E2384">
        <v>758.1</v>
      </c>
      <c r="G2384">
        <f t="shared" si="64"/>
        <v>0.86421716615631861</v>
      </c>
    </row>
    <row r="2385" spans="1:7" x14ac:dyDescent="0.2">
      <c r="A2385">
        <v>31828</v>
      </c>
      <c r="C2385">
        <v>50.191600000000001</v>
      </c>
      <c r="E2385">
        <v>749.10299999999995</v>
      </c>
      <c r="G2385">
        <f t="shared" si="64"/>
        <v>0.71274761691629085</v>
      </c>
    </row>
    <row r="2386" spans="1:7" x14ac:dyDescent="0.2">
      <c r="A2386">
        <v>40171.800000000003</v>
      </c>
      <c r="C2386">
        <v>47.437899999999999</v>
      </c>
      <c r="E2386">
        <v>799.53</v>
      </c>
      <c r="G2386">
        <f t="shared" si="64"/>
        <v>0.78969840531941016</v>
      </c>
    </row>
    <row r="2387" spans="1:7" x14ac:dyDescent="0.2">
      <c r="A2387">
        <v>39965.9</v>
      </c>
      <c r="C2387">
        <v>49.7468</v>
      </c>
      <c r="E2387">
        <v>782.96699999999998</v>
      </c>
      <c r="G2387">
        <f t="shared" si="64"/>
        <v>0.81924194206212708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2019-12-04T18:01:56Z</dcterms:created>
  <dcterms:modified xsi:type="dcterms:W3CDTF">2019-12-06T14:10:19Z</dcterms:modified>
</cp:coreProperties>
</file>